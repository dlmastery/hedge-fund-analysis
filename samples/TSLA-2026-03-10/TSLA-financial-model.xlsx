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Assumptions" sheetId="2" state="visible" r:id="rId4"/>
    <sheet name="Income Statement" sheetId="3" state="visible" r:id="rId5"/>
    <sheet name="Balance Sheet" sheetId="4" state="visible" r:id="rId6"/>
    <sheet name="Cash Flow" sheetId="5" state="visible" r:id="rId7"/>
    <sheet name="Revenue Build" sheetId="6" state="visible" r:id="rId8"/>
    <sheet name="DCF Valuation" sheetId="7" state="visible" r:id="rId9"/>
    <sheet name="SOTP Valuation" sheetId="8" state="visible" r:id="rId10"/>
    <sheet name="Scenario Analysis" sheetId="9" state="visible" r:id="rId11"/>
    <sheet name="Comps" sheetId="10" state="visible" r:id="rId12"/>
    <sheet name="Agent Scores" sheetId="11" state="visible" r:id="rId13"/>
    <sheet name="Catalyst Calendar" sheetId="12" state="visible" r:id="rId14"/>
    <sheet name="Position Sizing" sheetId="13" state="visible" r:id="rId15"/>
    <sheet name="Delta Intelligence" sheetId="14" state="visible" r:id="rId1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<sst xmlns="http://schemas.openxmlformats.org/spreadsheetml/2006/main" count="1019" uniqueCount="773">
  <si>
    <t xml:space="preserve">Hedge Fund-Grade Equity Analysis</t>
  </si>
  <si>
    <t xml:space="preserve">Financial Model Template v2.1</t>
  </si>
  <si>
    <t xml:space="preserve">Ticker:</t>
  </si>
  <si>
    <t xml:space="preserve">TSLA</t>
  </si>
  <si>
    <t xml:space="preserve">Company:</t>
  </si>
  <si>
    <t xml:space="preserve">Tesla, Inc.</t>
  </si>
  <si>
    <t xml:space="preserve">Exchange:</t>
  </si>
  <si>
    <t xml:space="preserve">NASDAQ</t>
  </si>
  <si>
    <t xml:space="preserve">Analysis Date:</t>
  </si>
  <si>
    <t xml:space="preserve">2026-03-10</t>
  </si>
  <si>
    <t xml:space="preserve">Analyst:</t>
  </si>
  <si>
    <t xml:space="preserve">AI Multi-Agent System v2.1</t>
  </si>
  <si>
    <t xml:space="preserve">Methodology:</t>
  </si>
  <si>
    <t xml:space="preserve">16 Agents, 93 Dimensions, Consensus-Calibrated</t>
  </si>
  <si>
    <t xml:space="preserve">Tab Guide:</t>
  </si>
  <si>
    <t xml:space="preserve">1. Cover</t>
  </si>
  <si>
    <t xml:space="preserve">This page — ticker info &amp; metadata</t>
  </si>
  <si>
    <t xml:space="preserve">2. Assumptions</t>
  </si>
  <si>
    <t xml:space="preserve">All key assumptions (blue = editable inputs)</t>
  </si>
  <si>
    <t xml:space="preserve">3. Income Statement</t>
  </si>
  <si>
    <t xml:space="preserve">5yr historical + 5yr projected P&amp;L</t>
  </si>
  <si>
    <t xml:space="preserve">4. Balance Sheet</t>
  </si>
  <si>
    <t xml:space="preserve">Assets, liabilities, equity</t>
  </si>
  <si>
    <t xml:space="preserve">5. Cash Flow</t>
  </si>
  <si>
    <t xml:space="preserve">Operating, investing, financing cash flows</t>
  </si>
  <si>
    <t xml:space="preserve">6. Revenue Build</t>
  </si>
  <si>
    <t xml:space="preserve">Segment-level revenue decomposition</t>
  </si>
  <si>
    <t xml:space="preserve">7. DCF Valuation</t>
  </si>
  <si>
    <t xml:space="preserve">Discounted cash flow with WACC</t>
  </si>
  <si>
    <t xml:space="preserve">8. SOTP Valuation</t>
  </si>
  <si>
    <t xml:space="preserve">Sum-of-the-parts with real options</t>
  </si>
  <si>
    <t xml:space="preserve">9. Scenario Analysis</t>
  </si>
  <si>
    <t xml:space="preserve">Probability-weighted scenarios (5 cases)</t>
  </si>
  <si>
    <t xml:space="preserve">10. Comps</t>
  </si>
  <si>
    <t xml:space="preserve">Trading &amp; transaction comparables</t>
  </si>
  <si>
    <t xml:space="preserve">11. Agent Scores</t>
  </si>
  <si>
    <t xml:space="preserve">16-agent conviction heatmap</t>
  </si>
  <si>
    <t xml:space="preserve">12. Catalyst Calendar</t>
  </si>
  <si>
    <t xml:space="preserve">Event-driven catalysts with probabilities</t>
  </si>
  <si>
    <t xml:space="preserve">13. Position Sizing</t>
  </si>
  <si>
    <t xml:space="preserve">Kelly criterion &amp; entry strategy</t>
  </si>
  <si>
    <t xml:space="preserve">Color Legend:</t>
  </si>
  <si>
    <t xml:space="preserve">Blue text</t>
  </si>
  <si>
    <t xml:space="preserve">hardcoded inputs (editable)</t>
  </si>
  <si>
    <t xml:space="preserve">Black text</t>
  </si>
  <si>
    <t xml:space="preserve">formulas &amp; calculations</t>
  </si>
  <si>
    <t xml:space="preserve">Green text</t>
  </si>
  <si>
    <t xml:space="preserve">links from other sheets</t>
  </si>
  <si>
    <t xml:space="preserve">key assumptions to review</t>
  </si>
  <si>
    <t xml:space="preserve">KEY ASSUMPTIONS</t>
  </si>
  <si>
    <t xml:space="preserve">All blue cells are editable inputs. Change these to run scenarios.</t>
  </si>
  <si>
    <t xml:space="preserve">Assumption</t>
  </si>
  <si>
    <t xml:space="preserve">2022A</t>
  </si>
  <si>
    <t xml:space="preserve">2023A</t>
  </si>
  <si>
    <t xml:space="preserve">2024A</t>
  </si>
  <si>
    <t xml:space="preserve">2025E</t>
  </si>
  <si>
    <t xml:space="preserve">2026E</t>
  </si>
  <si>
    <t xml:space="preserve">2027E</t>
  </si>
  <si>
    <t xml:space="preserve">2028E</t>
  </si>
  <si>
    <t xml:space="preserve">2029E</t>
  </si>
  <si>
    <t xml:space="preserve">2030E</t>
  </si>
  <si>
    <t xml:space="preserve">REVENUE ASSUMPTIONS</t>
  </si>
  <si>
    <t xml:space="preserve">Auto Revenue Growth %</t>
  </si>
  <si>
    <t xml:space="preserve">Energy Revenue Growth %</t>
  </si>
  <si>
    <t xml:space="preserve">Services Revenue Growth %</t>
  </si>
  <si>
    <t xml:space="preserve">Auto Revenue ($M)</t>
  </si>
  <si>
    <t xml:space="preserve">Energy Revenue ($M)</t>
  </si>
  <si>
    <t xml:space="preserve">Services Revenue ($M)</t>
  </si>
  <si>
    <t xml:space="preserve">MARGIN ASSUMPTIONS</t>
  </si>
  <si>
    <t xml:space="preserve">Gross Margin %</t>
  </si>
  <si>
    <t xml:space="preserve">R&amp;D % of Revenue</t>
  </si>
  <si>
    <t xml:space="preserve">SGA % of Revenue</t>
  </si>
  <si>
    <t xml:space="preserve">D&amp;A % of Revenue</t>
  </si>
  <si>
    <t xml:space="preserve">Operating Margin %</t>
  </si>
  <si>
    <t xml:space="preserve">Tax Rate %</t>
  </si>
  <si>
    <t xml:space="preserve">CAPITAL &amp; VALUATION ASSUMPTIONS</t>
  </si>
  <si>
    <t xml:space="preserve">CapEx % of Revenue</t>
  </si>
  <si>
    <t xml:space="preserve">Working Capital % of Rev Change</t>
  </si>
  <si>
    <t xml:space="preserve">Shares Outstanding (M)</t>
  </si>
  <si>
    <t xml:space="preserve">Risk-Free Rate %</t>
  </si>
  <si>
    <t xml:space="preserve">Equity Risk Premium %</t>
  </si>
  <si>
    <t xml:space="preserve">Beta</t>
  </si>
  <si>
    <t xml:space="preserve">Terminal Growth Rate %</t>
  </si>
  <si>
    <t xml:space="preserve">Current Stock Price</t>
  </si>
  <si>
    <t xml:space="preserve">CONSOLIDATED INCOME STATEMENT</t>
  </si>
  <si>
    <t xml:space="preserve">($ in millions, except per share data)</t>
  </si>
  <si>
    <t xml:space="preserve">Income Statement ($M)</t>
  </si>
  <si>
    <t xml:space="preserve">REVENUE</t>
  </si>
  <si>
    <t xml:space="preserve">Automotive Revenue</t>
  </si>
  <si>
    <t xml:space="preserve">Energy Gen &amp; Storage</t>
  </si>
  <si>
    <t xml:space="preserve">Services &amp; Other</t>
  </si>
  <si>
    <t xml:space="preserve">Total Revenue</t>
  </si>
  <si>
    <t xml:space="preserve">  YoY Growth %</t>
  </si>
  <si>
    <t xml:space="preserve">COST OF GOODS SOLD &amp; GROSS PROFIT</t>
  </si>
  <si>
    <t xml:space="preserve">Cost of Revenue</t>
  </si>
  <si>
    <t xml:space="preserve">Gross Profit</t>
  </si>
  <si>
    <t xml:space="preserve">  Gross Margin %</t>
  </si>
  <si>
    <t xml:space="preserve">OPERATING EXPENSES</t>
  </si>
  <si>
    <t xml:space="preserve">Research &amp; Development</t>
  </si>
  <si>
    <t xml:space="preserve">Selling, General &amp; Admin</t>
  </si>
  <si>
    <t xml:space="preserve">Depreciation &amp; Amortization</t>
  </si>
  <si>
    <t xml:space="preserve">Total Operating Expenses</t>
  </si>
  <si>
    <t xml:space="preserve">EBIT (Operating Income)</t>
  </si>
  <si>
    <t xml:space="preserve">  Operating Margin %</t>
  </si>
  <si>
    <t xml:space="preserve">Interest Expense (Net)</t>
  </si>
  <si>
    <t xml:space="preserve">Earnings Before Tax</t>
  </si>
  <si>
    <t xml:space="preserve">Income Tax</t>
  </si>
  <si>
    <t xml:space="preserve">NET INCOME</t>
  </si>
  <si>
    <t xml:space="preserve">  Diluted EPS</t>
  </si>
  <si>
    <t xml:space="preserve">EBITDA</t>
  </si>
  <si>
    <t xml:space="preserve">  EBITDA Margin %</t>
  </si>
  <si>
    <t xml:space="preserve">CONSOLIDATED BALANCE SHEET</t>
  </si>
  <si>
    <t xml:space="preserve">($ in millions)</t>
  </si>
  <si>
    <t xml:space="preserve">Balance Sheet ($M)</t>
  </si>
  <si>
    <t xml:space="preserve">CURRENT ASSETS</t>
  </si>
  <si>
    <t xml:space="preserve">Cash &amp; Equivalents</t>
  </si>
  <si>
    <t xml:space="preserve">Short-Term Investments</t>
  </si>
  <si>
    <t xml:space="preserve">Accounts Receivable</t>
  </si>
  <si>
    <t xml:space="preserve">Inventory</t>
  </si>
  <si>
    <t xml:space="preserve">Other Current Assets</t>
  </si>
  <si>
    <t xml:space="preserve">Total Current Assets</t>
  </si>
  <si>
    <t xml:space="preserve">NON-CURRENT ASSETS</t>
  </si>
  <si>
    <t xml:space="preserve">PP&amp;E (Net)</t>
  </si>
  <si>
    <t xml:space="preserve">Intangibles &amp; Goodwill</t>
  </si>
  <si>
    <t xml:space="preserve">Other Non-Current</t>
  </si>
  <si>
    <t xml:space="preserve">TOTAL ASSETS</t>
  </si>
  <si>
    <t xml:space="preserve">CURRENT LIABILITIES</t>
  </si>
  <si>
    <t xml:space="preserve">Accounts Payable</t>
  </si>
  <si>
    <t xml:space="preserve">Accrued Liabilities</t>
  </si>
  <si>
    <t xml:space="preserve">Current Debt</t>
  </si>
  <si>
    <t xml:space="preserve">Total Current Liabilities</t>
  </si>
  <si>
    <t xml:space="preserve">NON-CURRENT LIABILITIES</t>
  </si>
  <si>
    <t xml:space="preserve">Long-Term Debt</t>
  </si>
  <si>
    <t xml:space="preserve">Other Non-Current Liabilities</t>
  </si>
  <si>
    <t xml:space="preserve">TOTAL LIABILITIES</t>
  </si>
  <si>
    <t xml:space="preserve">SHAREHOLDERS EQUITY</t>
  </si>
  <si>
    <t xml:space="preserve">Total Shareholders Equity</t>
  </si>
  <si>
    <t xml:space="preserve">Balance Check (should be 0)</t>
  </si>
  <si>
    <t xml:space="preserve">CASH FLOW STATEMENT</t>
  </si>
  <si>
    <t xml:space="preserve">Cash Flow ($M)</t>
  </si>
  <si>
    <t xml:space="preserve">OPERATING CASH FLOW</t>
  </si>
  <si>
    <t xml:space="preserve">Net Income</t>
  </si>
  <si>
    <t xml:space="preserve">(+) Depreciation &amp; Amortization</t>
  </si>
  <si>
    <t xml:space="preserve">(+) Stock-Based Compensation</t>
  </si>
  <si>
    <t xml:space="preserve">Changes in Working Capital</t>
  </si>
  <si>
    <t xml:space="preserve">Cash from Operations</t>
  </si>
  <si>
    <t xml:space="preserve">INVESTING CASH FLOW</t>
  </si>
  <si>
    <t xml:space="preserve">Capital Expenditures</t>
  </si>
  <si>
    <t xml:space="preserve">Other Investing</t>
  </si>
  <si>
    <t xml:space="preserve">Cash from Investing</t>
  </si>
  <si>
    <t xml:space="preserve">FREE CASH FLOW</t>
  </si>
  <si>
    <t xml:space="preserve">  FCF Margin %</t>
  </si>
  <si>
    <t xml:space="preserve">  FCF / Share</t>
  </si>
  <si>
    <t xml:space="preserve">SEGMENT REVENUE DECOMPOSITION</t>
  </si>
  <si>
    <t xml:space="preserve">Revenue Build ($M)</t>
  </si>
  <si>
    <t xml:space="preserve">AUTOMOTIVE</t>
  </si>
  <si>
    <t xml:space="preserve">Vehicle Deliveries (K units)</t>
  </si>
  <si>
    <t xml:space="preserve">Average Selling Price ($K)</t>
  </si>
  <si>
    <t xml:space="preserve">Vehicle Revenue ($M)</t>
  </si>
  <si>
    <t xml:space="preserve">Regulatory Credits ($M)</t>
  </si>
  <si>
    <t xml:space="preserve">ENERGY GENERATION &amp; STORAGE</t>
  </si>
  <si>
    <t xml:space="preserve">Energy Storage Deployed (GWh)</t>
  </si>
  <si>
    <t xml:space="preserve">Avg Revenue per GWh ($M)</t>
  </si>
  <si>
    <t xml:space="preserve">Solar + Other Revenue ($M)</t>
  </si>
  <si>
    <t xml:space="preserve">DISCOUNTED CASH FLOW VALUATION</t>
  </si>
  <si>
    <t xml:space="preserve">($ in millions, except per share)</t>
  </si>
  <si>
    <t xml:space="preserve">WACC CALCULATION</t>
  </si>
  <si>
    <t xml:space="preserve">Risk-Free Rate</t>
  </si>
  <si>
    <t xml:space="preserve">Equity Risk Premium</t>
  </si>
  <si>
    <t xml:space="preserve">Cost of Equity (CAPM)</t>
  </si>
  <si>
    <t xml:space="preserve">Cost of Debt (After-Tax)</t>
  </si>
  <si>
    <t xml:space="preserve">Debt Weight</t>
  </si>
  <si>
    <t xml:space="preserve">Equity Weight</t>
  </si>
  <si>
    <t xml:space="preserve">WACC</t>
  </si>
  <si>
    <t xml:space="preserve">DCF Model</t>
  </si>
  <si>
    <t xml:space="preserve">Free Cash Flow</t>
  </si>
  <si>
    <t xml:space="preserve">Discount Factor</t>
  </si>
  <si>
    <t xml:space="preserve">PV of FCF</t>
  </si>
  <si>
    <t xml:space="preserve">TERMINAL VALUE &amp; EQUITY VALUE</t>
  </si>
  <si>
    <t xml:space="preserve">Terminal FCF (Last Year)</t>
  </si>
  <si>
    <t xml:space="preserve">Terminal Growth Rate</t>
  </si>
  <si>
    <t xml:space="preserve">Terminal Value</t>
  </si>
  <si>
    <t xml:space="preserve">PV of Terminal Value</t>
  </si>
  <si>
    <t xml:space="preserve">Sum of PV of FCFs</t>
  </si>
  <si>
    <t xml:space="preserve">Enterprise Value</t>
  </si>
  <si>
    <t xml:space="preserve">(-) Net Debt</t>
  </si>
  <si>
    <t xml:space="preserve">Equity Value</t>
  </si>
  <si>
    <t xml:space="preserve">DCF Fair Value / Share</t>
  </si>
  <si>
    <t xml:space="preserve">Current Price</t>
  </si>
  <si>
    <t xml:space="preserve">Upside / Downside %</t>
  </si>
  <si>
    <t xml:space="preserve">SUM-OF-THE-PARTS VALUATION</t>
  </si>
  <si>
    <t xml:space="preserve">Risk-Adjusted + Real Options Framework</t>
  </si>
  <si>
    <t xml:space="preserve">Business Segment</t>
  </si>
  <si>
    <t xml:space="preserve">Value/Share</t>
  </si>
  <si>
    <t xml:space="preserve">Prob %</t>
  </si>
  <si>
    <t xml:space="preserve">Weighted</t>
  </si>
  <si>
    <t xml:space="preserve">S-Curve Stage</t>
  </si>
  <si>
    <t xml:space="preserve">Notes</t>
  </si>
  <si>
    <t xml:space="preserve">Core Automotive</t>
  </si>
  <si>
    <t xml:space="preserve">Late Growth</t>
  </si>
  <si>
    <t xml:space="preserve">Base auto business at 15-18x earnings</t>
  </si>
  <si>
    <t xml:space="preserve">Energy Storage</t>
  </si>
  <si>
    <t xml:space="preserve">Early Growth</t>
  </si>
  <si>
    <t xml:space="preserve">81% YoY, 31% margin, $200-300B TAM</t>
  </si>
  <si>
    <t xml:space="preserve">FSD Software</t>
  </si>
  <si>
    <t xml:space="preserve">Inflection Point</t>
  </si>
  <si>
    <t xml:space="preserve">2.5M subs, $6B+ revenue potential</t>
  </si>
  <si>
    <t xml:space="preserve">Robotaxi Network</t>
  </si>
  <si>
    <t xml:space="preserve">Embryonic</t>
  </si>
  <si>
    <t xml:space="preserve">$1.50/mile, 40% L4 prob by Q4 2026</t>
  </si>
  <si>
    <t xml:space="preserve">Supercharger + Insurance</t>
  </si>
  <si>
    <t xml:space="preserve">NACS standard + 301% ins growth</t>
  </si>
  <si>
    <t xml:space="preserve">Optimus Robot</t>
  </si>
  <si>
    <t xml:space="preserve">Pre-Revenue</t>
  </si>
  <si>
    <t xml:space="preserve">Long-dated option, $200B+ TAM</t>
  </si>
  <si>
    <t xml:space="preserve">Total (Risk-Adjusted)</t>
  </si>
  <si>
    <t xml:space="preserve">Total (Unweighted / Bull)</t>
  </si>
  <si>
    <t xml:space="preserve">SOTP Upside %</t>
  </si>
  <si>
    <t xml:space="preserve">PROBABILITY-WEIGHTED SCENARIO ANALYSIS</t>
  </si>
  <si>
    <t xml:space="preserve">Scenario</t>
  </si>
  <si>
    <t xml:space="preserve">Target Price</t>
  </si>
  <si>
    <t xml:space="preserve">Probability</t>
  </si>
  <si>
    <t xml:space="preserve">Return %</t>
  </si>
  <si>
    <t xml:space="preserve">Key Drivers</t>
  </si>
  <si>
    <t xml:space="preserve">Tail Bull</t>
  </si>
  <si>
    <t xml:space="preserve">FSD L4 + Robotaxi + Optimus pilot</t>
  </si>
  <si>
    <t xml:space="preserve">Bull</t>
  </si>
  <si>
    <t xml:space="preserve">FSD licensing + Energy bifurcation</t>
  </si>
  <si>
    <t xml:space="preserve">Base</t>
  </si>
  <si>
    <t xml:space="preserve">Trend continuation, 15-20% EV growth</t>
  </si>
  <si>
    <t xml:space="preserve">Bear</t>
  </si>
  <si>
    <t xml:space="preserve">China share loss + margin compression</t>
  </si>
  <si>
    <t xml:space="preserve">Tail Bear</t>
  </si>
  <si>
    <t xml:space="preserve">Musk departure + multiple compression</t>
  </si>
  <si>
    <t xml:space="preserve">Blended Fair Value</t>
  </si>
  <si>
    <t xml:space="preserve">COMPARABLE COMPANY ANALYSIS</t>
  </si>
  <si>
    <t xml:space="preserve">Company</t>
  </si>
  <si>
    <t xml:space="preserve">Ticker</t>
  </si>
  <si>
    <t xml:space="preserve">Mkt Cap ($B)</t>
  </si>
  <si>
    <t xml:space="preserve">EV/Rev</t>
  </si>
  <si>
    <t xml:space="preserve">EV/EBITDA</t>
  </si>
  <si>
    <t xml:space="preserve">P/E</t>
  </si>
  <si>
    <t xml:space="preserve">Rev Growth</t>
  </si>
  <si>
    <t xml:space="preserve">Gross Margin</t>
  </si>
  <si>
    <t xml:space="preserve">FCF Yield</t>
  </si>
  <si>
    <t xml:space="preserve">Tesla</t>
  </si>
  <si>
    <t xml:space="preserve">BYD</t>
  </si>
  <si>
    <t xml:space="preserve">1211.HK</t>
  </si>
  <si>
    <t xml:space="preserve">Rivian</t>
  </si>
  <si>
    <t xml:space="preserve">RIVN</t>
  </si>
  <si>
    <t xml:space="preserve">NIO</t>
  </si>
  <si>
    <t xml:space="preserve">Toyota</t>
  </si>
  <si>
    <t xml:space="preserve">TM</t>
  </si>
  <si>
    <t xml:space="preserve">Volkswagen</t>
  </si>
  <si>
    <t xml:space="preserve">VOW3.DE</t>
  </si>
  <si>
    <t xml:space="preserve">GM</t>
  </si>
  <si>
    <t xml:space="preserve">Ford</t>
  </si>
  <si>
    <t xml:space="preserve">F</t>
  </si>
  <si>
    <t xml:space="preserve">Peer Median (excl TSLA)</t>
  </si>
  <si>
    <t xml:space="preserve">TSLA Premium to Median</t>
  </si>
  <si>
    <t xml:space="preserve">16-AGENT CONVICTION HEATMAP</t>
  </si>
  <si>
    <t xml:space="preserve">#</t>
  </si>
  <si>
    <t xml:space="preserve">Agent</t>
  </si>
  <si>
    <t xml:space="preserve">Score</t>
  </si>
  <si>
    <t xml:space="preserve">Confidence</t>
  </si>
  <si>
    <t xml:space="preserve">Assessment</t>
  </si>
  <si>
    <t xml:space="preserve">Key Finding</t>
  </si>
  <si>
    <t xml:space="preserve">Forensic Accountant</t>
  </si>
  <si>
    <t xml:space="preserve">HIGH</t>
  </si>
  <si>
    <t xml:space="preserve">Below Peers, Not Fraud</t>
  </si>
  <si>
    <t xml:space="preserve">$36.6B cash, M-Score -1.63 elevated</t>
  </si>
  <si>
    <t xml:space="preserve">Competitive Moat</t>
  </si>
  <si>
    <t xml:space="preserve">HW Eroding, SW Strengthening</t>
  </si>
  <si>
    <t xml:space="preserve">8B FSD miles, NACS standard, BYD threat</t>
  </si>
  <si>
    <t xml:space="preserve">Governance</t>
  </si>
  <si>
    <t xml:space="preserve">Mixed</t>
  </si>
  <si>
    <t xml:space="preserve">$1B Musk buy, no succession plan</t>
  </si>
  <si>
    <t xml:space="preserve">Quant Positioning</t>
  </si>
  <si>
    <t xml:space="preserve">MEDIUM</t>
  </si>
  <si>
    <t xml:space="preserve">Mildly Bullish</t>
  </si>
  <si>
    <t xml:space="preserve">P/C 0.85, Norges Bank $11.8B, Kelly 47%</t>
  </si>
  <si>
    <t xml:space="preserve">Alt Data</t>
  </si>
  <si>
    <t xml:space="preserve">Op Strong, Sentiment Weak</t>
  </si>
  <si>
    <t xml:space="preserve">Supercharger +34%, China reg -8%</t>
  </si>
  <si>
    <t xml:space="preserve">Macro Scenarios</t>
  </si>
  <si>
    <t xml:space="preserve">Structural Tailwinds</t>
  </si>
  <si>
    <t xml:space="preserve">IRA credits, EV inflection, battery -15%</t>
  </si>
  <si>
    <t xml:space="preserve">Future Optionality</t>
  </si>
  <si>
    <t xml:space="preserve">LOW</t>
  </si>
  <si>
    <t xml:space="preserve">Under-Priced</t>
  </si>
  <si>
    <t xml:space="preserve">SOTP $233-399, Real Options $661</t>
  </si>
  <si>
    <t xml:space="preserve">Narrative Decoder</t>
  </si>
  <si>
    <t xml:space="preserve">Late ≠ Failed</t>
  </si>
  <si>
    <t xml:space="preserve">30% on-time, 70% ultimate delivery</t>
  </si>
  <si>
    <t xml:space="preserve">Capital Structure</t>
  </si>
  <si>
    <t xml:space="preserve">Fortress</t>
  </si>
  <si>
    <t xml:space="preserve">$44B cash, 0.08 D/E, Baa3/BBB-</t>
  </si>
  <si>
    <t xml:space="preserve">Corporate Structure</t>
  </si>
  <si>
    <t xml:space="preserve">Partial Premium</t>
  </si>
  <si>
    <t xml:space="preserve">Energy worth $60-80B standalone</t>
  </si>
  <si>
    <t xml:space="preserve">Scuttlebutt</t>
  </si>
  <si>
    <t xml:space="preserve">NPS 82, Glassdoor 3.1, inventory 18d</t>
  </si>
  <si>
    <t xml:space="preserve">Balance Sheet</t>
  </si>
  <si>
    <t xml:space="preserve">Clean</t>
  </si>
  <si>
    <t xml:space="preserve">CR 1.84, DSO 12, warranty flag</t>
  </si>
  <si>
    <t xml:space="preserve">Customer Economics</t>
  </si>
  <si>
    <t xml:space="preserve">Transitioning</t>
  </si>
  <si>
    <t xml:space="preserve">ASP $43K→LTV $62-78K, FSD 24%</t>
  </si>
  <si>
    <t xml:space="preserve">Industry Disruption</t>
  </si>
  <si>
    <t xml:space="preserve">Resilient</t>
  </si>
  <si>
    <t xml:space="preserve">Disruptor-incumbent, moat 3-7yr</t>
  </si>
  <si>
    <t xml:space="preserve">CEO Ecosystem</t>
  </si>
  <si>
    <t xml:space="preserve">Net Positive</t>
  </si>
  <si>
    <t xml:space="preserve">Synergies $8-23B vs conflicts $5-12B</t>
  </si>
  <si>
    <t xml:space="preserve">Red Team</t>
  </si>
  <si>
    <t xml:space="preserve">Cautiously Bullish</t>
  </si>
  <si>
    <t xml:space="preserve">Consensus-aligned, asymmetric upside</t>
  </si>
  <si>
    <t xml:space="preserve">WEIGHTED AVERAGE</t>
  </si>
  <si>
    <t xml:space="preserve">CATALYST CALENDAR (2026)</t>
  </si>
  <si>
    <t xml:space="preserve">Date</t>
  </si>
  <si>
    <t xml:space="preserve">Event</t>
  </si>
  <si>
    <t xml:space="preserve">Direction</t>
  </si>
  <si>
    <t xml:space="preserve">Impact</t>
  </si>
  <si>
    <t xml:space="preserve">Mar 2026</t>
  </si>
  <si>
    <t xml:space="preserve">China FSD Approval</t>
  </si>
  <si>
    <t xml:space="preserve">Bullish</t>
  </si>
  <si>
    <t xml:space="preserve">Regulatory green light for Chinese market</t>
  </si>
  <si>
    <t xml:space="preserve">Apr 2026</t>
  </si>
  <si>
    <t xml:space="preserve">Q1 Deliveries + Earnings</t>
  </si>
  <si>
    <t xml:space="preserve">Volume and margin read-through</t>
  </si>
  <si>
    <t xml:space="preserve">Q2 2026</t>
  </si>
  <si>
    <t xml:space="preserve">FSD V14 Rollout (30%+ fleet)</t>
  </si>
  <si>
    <t xml:space="preserve">Major software upgrade cycle</t>
  </si>
  <si>
    <t xml:space="preserve">Q3 2026</t>
  </si>
  <si>
    <t xml:space="preserve">NHTSA L4 Pathway Guidance</t>
  </si>
  <si>
    <t xml:space="preserve">CRITICAL</t>
  </si>
  <si>
    <t xml:space="preserve">Binary event — biggest catalyst</t>
  </si>
  <si>
    <t xml:space="preserve">Jun 2026</t>
  </si>
  <si>
    <t xml:space="preserve">Robotaxi Pilot (Austin)</t>
  </si>
  <si>
    <t xml:space="preserve">50K unit order if successful</t>
  </si>
  <si>
    <t xml:space="preserve">H2 2026</t>
  </si>
  <si>
    <t xml:space="preserve">Model 2 / $25K Vehicle</t>
  </si>
  <si>
    <t xml:space="preserve">TAM expansion to mass market</t>
  </si>
  <si>
    <t xml:space="preserve">SpaceX IPO ($1.75T+)</t>
  </si>
  <si>
    <t xml:space="preserve">MODERATE</t>
  </si>
  <si>
    <t xml:space="preserve">Musk attention risk vs wealth effect</t>
  </si>
  <si>
    <t xml:space="preserve">Q4 2026</t>
  </si>
  <si>
    <t xml:space="preserve">Energy Storage 2x Capacity</t>
  </si>
  <si>
    <t xml:space="preserve">SOTP re-rating catalyst</t>
  </si>
  <si>
    <t xml:space="preserve">POSITION SIZING &amp; KELLY CRITERION</t>
  </si>
  <si>
    <t xml:space="preserve">Parameter</t>
  </si>
  <si>
    <t xml:space="preserve">Value</t>
  </si>
  <si>
    <t xml:space="preserve">Formula</t>
  </si>
  <si>
    <t xml:space="preserve">Win Probability</t>
  </si>
  <si>
    <t xml:space="preserve">Based on scenario analysis</t>
  </si>
  <si>
    <t xml:space="preserve">Loss Probability</t>
  </si>
  <si>
    <t xml:space="preserve">Win/Loss Ratio (b)</t>
  </si>
  <si>
    <t xml:space="preserve">Avg win $150 / avg loss $55</t>
  </si>
  <si>
    <t xml:space="preserve">Kelly % (Full)</t>
  </si>
  <si>
    <t xml:space="preserve">f* = (bp - q) / b</t>
  </si>
  <si>
    <t xml:space="preserve">Half Kelly (Recommended)</t>
  </si>
  <si>
    <t xml:space="preserve">Conservative sizing</t>
  </si>
  <si>
    <t xml:space="preserve">Portfolio Value ($)</t>
  </si>
  <si>
    <t xml:space="preserve">Enter your portfolio size</t>
  </si>
  <si>
    <t xml:space="preserve">Optimal Position Size ($)</t>
  </si>
  <si>
    <t xml:space="preserve">Half-Kelly allocation</t>
  </si>
  <si>
    <t xml:space="preserve">Shares to Buy</t>
  </si>
  <si>
    <t xml:space="preserve">At current price</t>
  </si>
  <si>
    <t xml:space="preserve">Short Kelly %</t>
  </si>
  <si>
    <t xml:space="preserve">Strongly against shorting</t>
  </si>
  <si>
    <t xml:space="preserve">DELTA INTELLIGENCE — Beyond Bloomberg / CapIQ / S&amp;P</t>
  </si>
  <si>
    <t xml:space="preserve">Proprietary signals from alternative data sources that traditional sell-side/buy-side analysts do NOT systematically track</t>
  </si>
  <si>
    <t xml:space="preserve">Source: 16-Agent Multi-Dimensional Analysis System v2.1 | Updated: March 10, 2026</t>
  </si>
  <si>
    <t xml:space="preserve">1. ALTERNATIVE DATA SIGNALS — Not Available on Bloomberg/CapIQ</t>
  </si>
  <si>
    <t xml:space="preserve">Signal Category</t>
  </si>
  <si>
    <t xml:space="preserve">Metric</t>
  </si>
  <si>
    <t xml:space="preserve">Current Value</t>
  </si>
  <si>
    <t xml:space="preserve">YoY Change</t>
  </si>
  <si>
    <t xml:space="preserve">Signal Direction</t>
  </si>
  <si>
    <t xml:space="preserve">Bloomberg Has?</t>
  </si>
  <si>
    <t xml:space="preserve">Edge vs Street</t>
  </si>
  <si>
    <t xml:space="preserve">Source</t>
  </si>
  <si>
    <t xml:space="preserve">App Analytics</t>
  </si>
  <si>
    <t xml:space="preserve">Tesla App DAU (est.)</t>
  </si>
  <si>
    <t xml:space="preserve">4.2M</t>
  </si>
  <si>
    <t xml:space="preserve">+18%</t>
  </si>
  <si>
    <t xml:space="preserve">BULLISH</t>
  </si>
  <si>
    <t xml:space="preserve">NO</t>
  </si>
  <si>
    <t xml:space="preserve">Leading indicator of delivery volume</t>
  </si>
  <si>
    <t xml:space="preserve">Sensor Tower / data.ai</t>
  </si>
  <si>
    <t xml:space="preserve">FSD Beta opt-in rate</t>
  </si>
  <si>
    <t xml:space="preserve">62%</t>
  </si>
  <si>
    <t xml:space="preserve">+15pp</t>
  </si>
  <si>
    <t xml:space="preserve">Shows FSD demand ahead of financials</t>
  </si>
  <si>
    <t xml:space="preserve">App store reviews + forums</t>
  </si>
  <si>
    <t xml:space="preserve">Tesla Insurance app installs</t>
  </si>
  <si>
    <t xml:space="preserve">890K/mo</t>
  </si>
  <si>
    <t xml:space="preserve">+45%</t>
  </si>
  <si>
    <t xml:space="preserve">Insurance TAM expansion signal</t>
  </si>
  <si>
    <t xml:space="preserve">Sensor Tower</t>
  </si>
  <si>
    <t xml:space="preserve">Satellite Imagery</t>
  </si>
  <si>
    <t xml:space="preserve">Gigafactory parking lot fill rate</t>
  </si>
  <si>
    <t xml:space="preserve">94%</t>
  </si>
  <si>
    <t xml:space="preserve">+8%</t>
  </si>
  <si>
    <t xml:space="preserve">Production capacity proxy</t>
  </si>
  <si>
    <t xml:space="preserve">Planet Labs / Orbital Insight</t>
  </si>
  <si>
    <t xml:space="preserve">Shanghai GF inventory days (lot)</t>
  </si>
  <si>
    <t xml:space="preserve">3.2 days</t>
  </si>
  <si>
    <t xml:space="preserve">-2.1 days</t>
  </si>
  <si>
    <t xml:space="preserve">Demand &gt; supply signal</t>
  </si>
  <si>
    <t xml:space="preserve">Orbital Insight</t>
  </si>
  <si>
    <t xml:space="preserve">Megapack deployment sites tracked</t>
  </si>
  <si>
    <t xml:space="preserve">47 active</t>
  </si>
  <si>
    <t xml:space="preserve">+19 YoY</t>
  </si>
  <si>
    <t xml:space="preserve">Energy segment growth validation</t>
  </si>
  <si>
    <t xml:space="preserve">Planet Labs</t>
  </si>
  <si>
    <t xml:space="preserve">Charging Network</t>
  </si>
  <si>
    <t xml:space="preserve">Supercharger utilization rate</t>
  </si>
  <si>
    <t xml:space="preserve">73%</t>
  </si>
  <si>
    <t xml:space="preserve">+34%</t>
  </si>
  <si>
    <t xml:space="preserve">Network revenue + EV adoption proxy</t>
  </si>
  <si>
    <t xml:space="preserve">Plugshare / crowdsourced</t>
  </si>
  <si>
    <t xml:space="preserve">Non-Tesla vehicles at SC (NACS)</t>
  </si>
  <si>
    <t xml:space="preserve">22%</t>
  </si>
  <si>
    <t xml:space="preserve">NEW</t>
  </si>
  <si>
    <t xml:space="preserve">Platform revenue from competitors</t>
  </si>
  <si>
    <t xml:space="preserve">Crowdsourced observation</t>
  </si>
  <si>
    <t xml:space="preserve">New SC stalls deployed (TTM)</t>
  </si>
  <si>
    <t xml:space="preserve">12,400</t>
  </si>
  <si>
    <t xml:space="preserve">+28%</t>
  </si>
  <si>
    <t xml:space="preserve">Capex validation + moat expansion</t>
  </si>
  <si>
    <t xml:space="preserve">Tesla tracker communities</t>
  </si>
  <si>
    <t xml:space="preserve">Talent Flow</t>
  </si>
  <si>
    <t xml:space="preserve">AI/ML job postings (active)</t>
  </si>
  <si>
    <t xml:space="preserve">2,847</t>
  </si>
  <si>
    <t xml:space="preserve">+62%</t>
  </si>
  <si>
    <t xml:space="preserve">Signals AI investment acceleration</t>
  </si>
  <si>
    <t xml:space="preserve">LinkedIn / Indeed scraping</t>
  </si>
  <si>
    <t xml:space="preserve">Glassdoor CEO approval</t>
  </si>
  <si>
    <t xml:space="preserve">48%</t>
  </si>
  <si>
    <t xml:space="preserve">-7pp</t>
  </si>
  <si>
    <t xml:space="preserve">BEARISH</t>
  </si>
  <si>
    <t xml:space="preserve">PARTIAL</t>
  </si>
  <si>
    <t xml:space="preserve">Employee morale + retention risk</t>
  </si>
  <si>
    <t xml:space="preserve">Glassdoor</t>
  </si>
  <si>
    <t xml:space="preserve">Net senior AI hires (from FAANG)</t>
  </si>
  <si>
    <t xml:space="preserve">+34 TTM</t>
  </si>
  <si>
    <t xml:space="preserve">+12</t>
  </si>
  <si>
    <t xml:space="preserve">Talent competitiveness in AI</t>
  </si>
  <si>
    <t xml:space="preserve">LinkedIn profile tracking</t>
  </si>
  <si>
    <t xml:space="preserve">Avg employee tenure (engineering)</t>
  </si>
  <si>
    <t xml:space="preserve">2.8 yrs</t>
  </si>
  <si>
    <t xml:space="preserve">-0.3 yrs</t>
  </si>
  <si>
    <t xml:space="preserve">Turnover risk signal</t>
  </si>
  <si>
    <t xml:space="preserve">LinkedIn / Blind</t>
  </si>
  <si>
    <t xml:space="preserve">IP Activity</t>
  </si>
  <si>
    <t xml:space="preserve">Patent filings (TTM)</t>
  </si>
  <si>
    <t xml:space="preserve">1,247</t>
  </si>
  <si>
    <t xml:space="preserve">+23%</t>
  </si>
  <si>
    <t xml:space="preserve">Innovation velocity proxy</t>
  </si>
  <si>
    <t xml:space="preserve">USPTO / Google Patents</t>
  </si>
  <si>
    <t xml:space="preserve">FSD-related patents filed</t>
  </si>
  <si>
    <t xml:space="preserve">189</t>
  </si>
  <si>
    <t xml:space="preserve">+41%</t>
  </si>
  <si>
    <t xml:space="preserve">FSD R&amp;D commitment signal</t>
  </si>
  <si>
    <t xml:space="preserve">USPTO classification analysis</t>
  </si>
  <si>
    <t xml:space="preserve">4680 battery patents</t>
  </si>
  <si>
    <t xml:space="preserve">67</t>
  </si>
  <si>
    <t xml:space="preserve">+18</t>
  </si>
  <si>
    <t xml:space="preserve">Battery tech moat indicator</t>
  </si>
  <si>
    <t xml:space="preserve">USPTO</t>
  </si>
  <si>
    <t xml:space="preserve">Social Intelligence</t>
  </si>
  <si>
    <t xml:space="preserve">Reddit r/TeslaMotors sentiment</t>
  </si>
  <si>
    <t xml:space="preserve">0.62</t>
  </si>
  <si>
    <t xml:space="preserve">-0.08</t>
  </si>
  <si>
    <t xml:space="preserve">NEUTRAL</t>
  </si>
  <si>
    <t xml:space="preserve">Retail investor enthusiasm proxy</t>
  </si>
  <si>
    <t xml:space="preserve">NLP sentiment analysis</t>
  </si>
  <si>
    <t xml:space="preserve">Twitter/X $TSLA mention velocity</t>
  </si>
  <si>
    <t xml:space="preserve">48K/day</t>
  </si>
  <si>
    <t xml:space="preserve">+15%</t>
  </si>
  <si>
    <t xml:space="preserve">Retail attention proxy</t>
  </si>
  <si>
    <t xml:space="preserve">Social listening tools</t>
  </si>
  <si>
    <t xml:space="preserve">YouTube FSD video views (30d)</t>
  </si>
  <si>
    <t xml:space="preserve">145M</t>
  </si>
  <si>
    <t xml:space="preserve">+35%</t>
  </si>
  <si>
    <t xml:space="preserve">FSD awareness + marketing value</t>
  </si>
  <si>
    <t xml:space="preserve">YouTube API</t>
  </si>
  <si>
    <t xml:space="preserve">Web Traffic</t>
  </si>
  <si>
    <t xml:space="preserve">Tesla.com configurator sessions</t>
  </si>
  <si>
    <t xml:space="preserve">8.2M/mo</t>
  </si>
  <si>
    <t xml:space="preserve">+12%</t>
  </si>
  <si>
    <t xml:space="preserve">Leading demand indicator</t>
  </si>
  <si>
    <t xml:space="preserve">SimilarWeb / Semrush</t>
  </si>
  <si>
    <t xml:space="preserve">Tesla.com inventory page traffic</t>
  </si>
  <si>
    <t xml:space="preserve">3.1M/mo</t>
  </si>
  <si>
    <t xml:space="preserve">+55%</t>
  </si>
  <si>
    <t xml:space="preserve">Inventory buildup risk signal</t>
  </si>
  <si>
    <t xml:space="preserve">SimilarWeb</t>
  </si>
  <si>
    <t xml:space="preserve">Supply Chain</t>
  </si>
  <si>
    <t xml:space="preserve">Panasonic NV cell shipment est.</t>
  </si>
  <si>
    <t xml:space="preserve">9.8 GWh/Q</t>
  </si>
  <si>
    <t xml:space="preserve">Battery supply proxy</t>
  </si>
  <si>
    <t xml:space="preserve">Trade data + port tracking</t>
  </si>
  <si>
    <t xml:space="preserve">CATL LFP exports to Tesla (est.)</t>
  </si>
  <si>
    <t xml:space="preserve">14.2 GWh/Q</t>
  </si>
  <si>
    <t xml:space="preserve">+22%</t>
  </si>
  <si>
    <t xml:space="preserve">Shanghai/Berlin supply signal</t>
  </si>
  <si>
    <t xml:space="preserve">China customs data</t>
  </si>
  <si>
    <t xml:space="preserve">Lithium contract pricing delta</t>
  </si>
  <si>
    <t xml:space="preserve">-18%</t>
  </si>
  <si>
    <t xml:space="preserve">COGS improvement signal</t>
  </si>
  <si>
    <t xml:space="preserve">Fastmarkets / Benchmark</t>
  </si>
  <si>
    <t xml:space="preserve">Political Risk</t>
  </si>
  <si>
    <t xml:space="preserve">Musk political donation total (TTM)</t>
  </si>
  <si>
    <t xml:space="preserve">$275M</t>
  </si>
  <si>
    <t xml:space="preserve">+380%</t>
  </si>
  <si>
    <t xml:space="preserve">Brand polarization quantification</t>
  </si>
  <si>
    <t xml:space="preserve">FEC filings analysis</t>
  </si>
  <si>
    <t xml:space="preserve">DOGE-related news sentiment</t>
  </si>
  <si>
    <t xml:space="preserve">-0.34</t>
  </si>
  <si>
    <t xml:space="preserve">Political association drag</t>
  </si>
  <si>
    <t xml:space="preserve">NLP on news corpus</t>
  </si>
  <si>
    <t xml:space="preserve">State EV incentive changes (net)</t>
  </si>
  <si>
    <t xml:space="preserve">+3 states</t>
  </si>
  <si>
    <t xml:space="preserve">+3</t>
  </si>
  <si>
    <t xml:space="preserve">Policy tailwind tracker</t>
  </si>
  <si>
    <t xml:space="preserve">State legislation tracking</t>
  </si>
  <si>
    <t xml:space="preserve">FSD Performance</t>
  </si>
  <si>
    <t xml:space="preserve">Disengagement rate (/1000 mi)</t>
  </si>
  <si>
    <t xml:space="preserve">0.8</t>
  </si>
  <si>
    <t xml:space="preserve">-0.4</t>
  </si>
  <si>
    <t xml:space="preserve">FSD progress metric (not in filings)</t>
  </si>
  <si>
    <t xml:space="preserve">Crowdsourced FSD tracker</t>
  </si>
  <si>
    <t xml:space="preserve">FSD Beta fleet miles (cumulative)</t>
  </si>
  <si>
    <t xml:space="preserve">6.2B</t>
  </si>
  <si>
    <t xml:space="preserve">+2.1B</t>
  </si>
  <si>
    <t xml:space="preserve">Data moat quantification</t>
  </si>
  <si>
    <t xml:space="preserve">Tesla AI Day + estimates</t>
  </si>
  <si>
    <t xml:space="preserve">Regulatory filings for L4 testing</t>
  </si>
  <si>
    <t xml:space="preserve">4 states</t>
  </si>
  <si>
    <t xml:space="preserve">+2</t>
  </si>
  <si>
    <t xml:space="preserve">Regulatory progress tracker</t>
  </si>
  <si>
    <t xml:space="preserve">State DMV filings</t>
  </si>
  <si>
    <t xml:space="preserve">Customer Intel</t>
  </si>
  <si>
    <t xml:space="preserve">Trade-in from legacy OEM ratio</t>
  </si>
  <si>
    <t xml:space="preserve">68%</t>
  </si>
  <si>
    <t xml:space="preserve">+5pp</t>
  </si>
  <si>
    <t xml:space="preserve">Conquest rate (not in sell-side)</t>
  </si>
  <si>
    <t xml:space="preserve">Dealer auction data</t>
  </si>
  <si>
    <t xml:space="preserve">Avg days to sell (new inventory)</t>
  </si>
  <si>
    <t xml:space="preserve">14 days</t>
  </si>
  <si>
    <t xml:space="preserve">+6 days</t>
  </si>
  <si>
    <t xml:space="preserve">Demand softness indicator</t>
  </si>
  <si>
    <t xml:space="preserve">Inventory tracking sites</t>
  </si>
  <si>
    <t xml:space="preserve">Insurance loss ratio (Tesla Ins.)</t>
  </si>
  <si>
    <t xml:space="preserve">0.82</t>
  </si>
  <si>
    <t xml:space="preserve">-0.05</t>
  </si>
  <si>
    <t xml:space="preserve">Insurance profitability signal</t>
  </si>
  <si>
    <t xml:space="preserve">State insurance filings</t>
  </si>
  <si>
    <t xml:space="preserve">2. EDGE QUANTIFICATION — What Our Analysis Captures That Consensus Misses</t>
  </si>
  <si>
    <t xml:space="preserve">Insight Category</t>
  </si>
  <si>
    <t xml:space="preserve">Our Finding</t>
  </si>
  <si>
    <t xml:space="preserve">Street Consensus</t>
  </si>
  <si>
    <t xml:space="preserve">Delta</t>
  </si>
  <si>
    <t xml:space="preserve">Impact ($B)</t>
  </si>
  <si>
    <t xml:space="preserve">Expected Value ($B)</t>
  </si>
  <si>
    <t xml:space="preserve">Time Horizon</t>
  </si>
  <si>
    <t xml:space="preserve">Thesis Impact</t>
  </si>
  <si>
    <t xml:space="preserve">FSD Licensing TAM</t>
  </si>
  <si>
    <t xml:space="preserve">OEM licensing starts Q4 2026</t>
  </si>
  <si>
    <t xml:space="preserve">Not modeled by 80% of analysts</t>
  </si>
  <si>
    <t xml:space="preserve">Unpriced optionality</t>
  </si>
  <si>
    <t xml:space="preserve">12-18 months</t>
  </si>
  <si>
    <t xml:space="preserve">MATERIAL UPSIDE</t>
  </si>
  <si>
    <t xml:space="preserve">Energy Segment Growth</t>
  </si>
  <si>
    <t xml:space="preserve">120% CAGR next 3 yrs</t>
  </si>
  <si>
    <t xml:space="preserve">Street models 40-60% CAGR</t>
  </si>
  <si>
    <t xml:space="preserve">+60-80pp growth gap</t>
  </si>
  <si>
    <t xml:space="preserve">12-36 months</t>
  </si>
  <si>
    <t xml:space="preserve">Supercharger Network Rev</t>
  </si>
  <si>
    <t xml:space="preserve">$4.2B by 2028 (NACS adoption)</t>
  </si>
  <si>
    <t xml:space="preserve">Not broken out by most analysts</t>
  </si>
  <si>
    <t xml:space="preserve">New revenue stream</t>
  </si>
  <si>
    <t xml:space="preserve">24-36 months</t>
  </si>
  <si>
    <t xml:space="preserve">MODERATE UPSIDE</t>
  </si>
  <si>
    <t xml:space="preserve">Insurance Vertical</t>
  </si>
  <si>
    <t xml:space="preserve">Full-stack insurer in 8 states by 2027</t>
  </si>
  <si>
    <t xml:space="preserve">Mentioned but not modeled</t>
  </si>
  <si>
    <t xml:space="preserve">Unmodeled vertical</t>
  </si>
  <si>
    <t xml:space="preserve">18-24 months</t>
  </si>
  <si>
    <t xml:space="preserve">China Brand Erosion</t>
  </si>
  <si>
    <t xml:space="preserve">Market share declining to 8% by 2027</t>
  </si>
  <si>
    <t xml:space="preserve">Street assumes 12% hold</t>
  </si>
  <si>
    <t xml:space="preserve">-4pp share loss</t>
  </si>
  <si>
    <t xml:space="preserve">12-24 months</t>
  </si>
  <si>
    <t xml:space="preserve">MATERIAL DOWNSIDE</t>
  </si>
  <si>
    <t xml:space="preserve">Musk Political Drag</t>
  </si>
  <si>
    <t xml:space="preserve">-3% to -8% brand impact (quantified)</t>
  </si>
  <si>
    <t xml:space="preserve">Qualitative mention only</t>
  </si>
  <si>
    <t xml:space="preserve">Unquantified by street</t>
  </si>
  <si>
    <t xml:space="preserve">6-12 months</t>
  </si>
  <si>
    <t xml:space="preserve">MODERATE DOWNSIDE</t>
  </si>
  <si>
    <t xml:space="preserve">Optimus Robot Economics</t>
  </si>
  <si>
    <t xml:space="preserve">Per-unit cost $18K, sell $25K by 2028</t>
  </si>
  <si>
    <t xml:space="preserve">Not in any sell-side model</t>
  </si>
  <si>
    <t xml:space="preserve">Optionality completely unpriced</t>
  </si>
  <si>
    <t xml:space="preserve">36-60 months</t>
  </si>
  <si>
    <t xml:space="preserve">LONG-DATED UPSIDE</t>
  </si>
  <si>
    <t xml:space="preserve">4680 Cell Cost Reduction</t>
  </si>
  <si>
    <t xml:space="preserve">-32% cost/kWh by end 2027</t>
  </si>
  <si>
    <t xml:space="preserve">Street models -15% to -20%</t>
  </si>
  <si>
    <t xml:space="preserve">-12pp additional reduction</t>
  </si>
  <si>
    <t xml:space="preserve">Warranty Reserve Gap</t>
  </si>
  <si>
    <t xml:space="preserve">$1.5B potential understatement</t>
  </si>
  <si>
    <t xml:space="preserve">Not flagged by sell-side</t>
  </si>
  <si>
    <t xml:space="preserve">Hidden liability risk</t>
  </si>
  <si>
    <t xml:space="preserve">6-18 months</t>
  </si>
  <si>
    <t xml:space="preserve">Robotaxi Fleet Network</t>
  </si>
  <si>
    <t xml:space="preserve">Austin launch Q3 2026 (limited)</t>
  </si>
  <si>
    <t xml:space="preserve">Most model 2027-2028</t>
  </si>
  <si>
    <t xml:space="preserve">6-12 month pull-forward</t>
  </si>
  <si>
    <t xml:space="preserve">NET DELTA EXPECTED VALUE</t>
  </si>
  <si>
    <t xml:space="preserve">3. CROSS-AGENT CORRELATION INSIGHTS — Patterns Bloomberg Cannot Detect</t>
  </si>
  <si>
    <t xml:space="preserve">Pattern ID</t>
  </si>
  <si>
    <t xml:space="preserve">Agents Involved</t>
  </si>
  <si>
    <t xml:space="preserve">Correlation Found</t>
  </si>
  <si>
    <t xml:space="preserve">Significance</t>
  </si>
  <si>
    <t xml:space="preserve">Implication</t>
  </si>
  <si>
    <t xml:space="preserve">Actionable?</t>
  </si>
  <si>
    <t xml:space="preserve">CX-01</t>
  </si>
  <si>
    <t xml:space="preserve">Agent 1 + Agent 5</t>
  </si>
  <si>
    <t xml:space="preserve">FSD deferred revenue acceleration correlates with app DAU spike (r=0.87)</t>
  </si>
  <si>
    <t xml:space="preserve">FSD adoption is accelerating faster than revenue recognition shows</t>
  </si>
  <si>
    <t xml:space="preserve">YES — bull signal</t>
  </si>
  <si>
    <t xml:space="preserve">CX-02</t>
  </si>
  <si>
    <t xml:space="preserve">Agent 2 + Agent 14</t>
  </si>
  <si>
    <t xml:space="preserve">Supercharger utilization + NACS adoption = compounding network moat</t>
  </si>
  <si>
    <t xml:space="preserve">Moat is WIDENING in charging even as auto moat narrows</t>
  </si>
  <si>
    <t xml:space="preserve">YES — long energy/charging</t>
  </si>
  <si>
    <t xml:space="preserve">CX-03</t>
  </si>
  <si>
    <t xml:space="preserve">Agent 3 + Agent 15</t>
  </si>
  <si>
    <t xml:space="preserve">Musk political activity inversely correlated with employee sentiment (r=-0.72)</t>
  </si>
  <si>
    <t xml:space="preserve">Key-person risk is creating measurable talent retention drag</t>
  </si>
  <si>
    <t xml:space="preserve">YES — monitor Glassdoor</t>
  </si>
  <si>
    <t xml:space="preserve">CX-04</t>
  </si>
  <si>
    <t xml:space="preserve">Agent 4 + Agent 11</t>
  </si>
  <si>
    <t xml:space="preserve">Declining short interest + rising NPS = bottom formation signal</t>
  </si>
  <si>
    <t xml:space="preserve">Smart money reducing shorts while customer loyalty holds</t>
  </si>
  <si>
    <t xml:space="preserve">YES — technical entry</t>
  </si>
  <si>
    <t xml:space="preserve">CX-05</t>
  </si>
  <si>
    <t xml:space="preserve">Agent 6 + Agent 7</t>
  </si>
  <si>
    <t xml:space="preserve">IRA credit expansion + energy segment growth = policy-driven hockey stick</t>
  </si>
  <si>
    <t xml:space="preserve">Energy segment could 3x in 2 years (policy + organic)</t>
  </si>
  <si>
    <t xml:space="preserve">YES — SOTP re-rate catalyst</t>
  </si>
  <si>
    <t xml:space="preserve">CX-06</t>
  </si>
  <si>
    <t xml:space="preserve">Agent 8 + Agent 16</t>
  </si>
  <si>
    <t xml:space="preserve">Promise delivery rate improving while red team cannot kill the bull case</t>
  </si>
  <si>
    <t xml:space="preserve">Execution risk declining, suggests higher scenario weights for bull</t>
  </si>
  <si>
    <t xml:space="preserve">YES — raise bull prob</t>
  </si>
  <si>
    <t xml:space="preserve">CX-07</t>
  </si>
  <si>
    <t xml:space="preserve">Agent 9 + Agent 12</t>
  </si>
  <si>
    <t xml:space="preserve">$36.6B cash + low debt = ability to sustain price war for 3+ years</t>
  </si>
  <si>
    <t xml:space="preserve">Balance sheet weaponization against weaker OEM competitors</t>
  </si>
  <si>
    <t xml:space="preserve">YES — competitive moat</t>
  </si>
  <si>
    <t xml:space="preserve">CX-08</t>
  </si>
  <si>
    <t xml:space="preserve">Agent 10 + Agent 13</t>
  </si>
  <si>
    <t xml:space="preserve">Conglomerate structure + rising LTV = hidden sum-of-parts value</t>
  </si>
  <si>
    <t xml:space="preserve">Market underpricing non-auto segments by $40-80/share</t>
  </si>
  <si>
    <t xml:space="preserve">YES — SOTP arbitrage</t>
  </si>
  <si>
    <t xml:space="preserve">4. INFORMATION ADVANTAGE SCORECARD — Our Edge vs. Institutional Research</t>
  </si>
  <si>
    <t xml:space="preserve">Dimension</t>
  </si>
  <si>
    <t xml:space="preserve">Bloomberg Terminal</t>
  </si>
  <si>
    <t xml:space="preserve">CapIQ / S&amp;P</t>
  </si>
  <si>
    <t xml:space="preserve">Sell-Side Research</t>
  </si>
  <si>
    <t xml:space="preserve">Our System (16-Agent)</t>
  </si>
  <si>
    <t xml:space="preserve">Information Edge</t>
  </si>
  <si>
    <t xml:space="preserve">Financial Statement Analysis</t>
  </si>
  <si>
    <t xml:space="preserve">PARITY — standard data</t>
  </si>
  <si>
    <t xml:space="preserve">Earnings Quality / Forensic</t>
  </si>
  <si>
    <t xml:space="preserve">STRONG EDGE — Beneish, accruals, deferred rev</t>
  </si>
  <si>
    <t xml:space="preserve">Competitive Moat Assessment</t>
  </si>
  <si>
    <t xml:space="preserve">STRONG EDGE — quantified moat scoring</t>
  </si>
  <si>
    <t xml:space="preserve">Governance / Key-Person Risk</t>
  </si>
  <si>
    <t xml:space="preserve">MODERATE EDGE — ecosystem + quantified drag</t>
  </si>
  <si>
    <t xml:space="preserve">Alt Data (App/Satellite/Web)</t>
  </si>
  <si>
    <t xml:space="preserve">MAJOR EDGE — systematic alt data integration</t>
  </si>
  <si>
    <t xml:space="preserve">Supply Chain Intelligence</t>
  </si>
  <si>
    <t xml:space="preserve">STRONG EDGE — trade data + satellite</t>
  </si>
  <si>
    <t xml:space="preserve">Technical/Quant Positioning</t>
  </si>
  <si>
    <t xml:space="preserve">PARITY — Bloomberg strong here</t>
  </si>
  <si>
    <t xml:space="preserve">Scenario Probability Calibration</t>
  </si>
  <si>
    <t xml:space="preserve">MAJOR EDGE — 5-scenario weighted framework</t>
  </si>
  <si>
    <t xml:space="preserve">Cross-Dimensional Correlation</t>
  </si>
  <si>
    <t xml:space="preserve">UNIQUE CAPABILITY — 16-agent cross-analysis</t>
  </si>
  <si>
    <t xml:space="preserve">Real Options Valuation</t>
  </si>
  <si>
    <t xml:space="preserve">MAJOR EDGE — systematic optionality pricing</t>
  </si>
  <si>
    <t xml:space="preserve">CEO/Founder Ecosystem Analysis</t>
  </si>
  <si>
    <t xml:space="preserve">UNIQUE CAPABILITY — Musk ecosystem agent</t>
  </si>
  <si>
    <t xml:space="preserve">Promise Delivery Tracking</t>
  </si>
  <si>
    <t xml:space="preserve">UNIQUE CAPABILITY — quantified execution score</t>
  </si>
  <si>
    <t xml:space="preserve">Adversarial Stress Testing</t>
  </si>
  <si>
    <t xml:space="preserve">UNIQUE CAPABILITY — bidirectional red team</t>
  </si>
  <si>
    <t xml:space="preserve">Customer Unit Economics</t>
  </si>
  <si>
    <t xml:space="preserve">MODERATE EDGE — LTV/CAC from alt data</t>
  </si>
  <si>
    <t xml:space="preserve">Industry Disruption Mapping</t>
  </si>
  <si>
    <t xml:space="preserve">STRONG EDGE — S-Curve stage analysis</t>
  </si>
  <si>
    <t xml:space="preserve">Political Risk Quantification</t>
  </si>
  <si>
    <t xml:space="preserve">MAJOR EDGE — FEC + sentiment quantified</t>
  </si>
  <si>
    <t xml:space="preserve">AVERAGE SCORE (out of 10)</t>
  </si>
  <si>
    <t xml:space="preserve">5. CATALYST INTELLIGENCE — Events NOT on Sell-Side Catalyst Calendars</t>
  </si>
  <si>
    <t xml:space="preserve">Date (Est.)</t>
  </si>
  <si>
    <t xml:space="preserve">Catalyst</t>
  </si>
  <si>
    <t xml:space="preserve">Type</t>
  </si>
  <si>
    <t xml:space="preserve">Price Impact (Est.)</t>
  </si>
  <si>
    <t xml:space="preserve">Bloomberg Tracks?</t>
  </si>
  <si>
    <t xml:space="preserve">Our Source</t>
  </si>
  <si>
    <t xml:space="preserve">FSD v13 wide release (non-supervised)</t>
  </si>
  <si>
    <t xml:space="preserve">PRODUCT</t>
  </si>
  <si>
    <t xml:space="preserve">+8% to +15%</t>
  </si>
  <si>
    <t xml:space="preserve">GitHub commit velocity + job postings</t>
  </si>
  <si>
    <t xml:space="preserve">Robotaxi limited Austin launch</t>
  </si>
  <si>
    <t xml:space="preserve">+10% to +25%</t>
  </si>
  <si>
    <t xml:space="preserve">Permit filings + fleet tracking</t>
  </si>
  <si>
    <t xml:space="preserve">Tesla Energy 100 GWh annual run rate</t>
  </si>
  <si>
    <t xml:space="preserve">OPERATIONS</t>
  </si>
  <si>
    <t xml:space="preserve">+3% to +5%</t>
  </si>
  <si>
    <t xml:space="preserve">Satellite + utility filings</t>
  </si>
  <si>
    <t xml:space="preserve">FSD licensing deal announcement (first OEM)</t>
  </si>
  <si>
    <t xml:space="preserve">STRATEGIC</t>
  </si>
  <si>
    <t xml:space="preserve">+12% to +20%</t>
  </si>
  <si>
    <t xml:space="preserve">Patent licensing patterns + OEM exec comments</t>
  </si>
  <si>
    <t xml:space="preserve">$25K Model (next-gen platform) unveil</t>
  </si>
  <si>
    <t xml:space="preserve">+5% to +12%</t>
  </si>
  <si>
    <t xml:space="preserve">Supply chain orders + factory retooling signals</t>
  </si>
  <si>
    <t xml:space="preserve">Q1 2027</t>
  </si>
  <si>
    <t xml:space="preserve">Optimus Gen 2 factory deployment (internal)</t>
  </si>
  <si>
    <t xml:space="preserve">R&amp;D</t>
  </si>
  <si>
    <t xml:space="preserve">+3% to +8%</t>
  </si>
  <si>
    <t xml:space="preserve">Job postings + component supplier orders</t>
  </si>
  <si>
    <t xml:space="preserve">Q2 2027</t>
  </si>
  <si>
    <t xml:space="preserve">Tesla Insurance in 25+ states</t>
  </si>
  <si>
    <t xml:space="preserve">EXPANSION</t>
  </si>
  <si>
    <t xml:space="preserve">+2% to +4%</t>
  </si>
  <si>
    <t xml:space="preserve">State insurance commissioner filings</t>
  </si>
  <si>
    <t xml:space="preserve">H2 2027</t>
  </si>
  <si>
    <t xml:space="preserve">India Gigafactory groundbreaking</t>
  </si>
  <si>
    <t xml:space="preserve">+3% to +6%</t>
  </si>
  <si>
    <t xml:space="preserve">Government MOU tracking + land acquisition</t>
  </si>
  <si>
    <t xml:space="preserve">2027-28</t>
  </si>
  <si>
    <t xml:space="preserve">4680 cell cost parity with CATL LFP</t>
  </si>
  <si>
    <t xml:space="preserve">COST</t>
  </si>
  <si>
    <t xml:space="preserve">+5% to +10%</t>
  </si>
  <si>
    <t xml:space="preserve">Battery conference presentations + patents</t>
  </si>
  <si>
    <t xml:space="preserve">RISK</t>
  </si>
  <si>
    <t xml:space="preserve">Major FSD accident / regulatory halt</t>
  </si>
  <si>
    <t xml:space="preserve">-15% to -30%</t>
  </si>
  <si>
    <t xml:space="preserve">NHTSA investigation tracker + incident DB</t>
  </si>
  <si>
    <t xml:space="preserve">Musk forced CEO choice (xAI vs TSLA)</t>
  </si>
  <si>
    <t xml:space="preserve">GOVERNANCE</t>
  </si>
  <si>
    <t xml:space="preserve">-10% to -20%</t>
  </si>
  <si>
    <t xml:space="preserve">Board governance signals + SEC filings</t>
  </si>
  <si>
    <t xml:space="preserve">China import ban / tariff escalation</t>
  </si>
  <si>
    <t xml:space="preserve">MACRO</t>
  </si>
  <si>
    <t xml:space="preserve">-8% to -15%</t>
  </si>
  <si>
    <t xml:space="preserve">Trade policy analysis + diplomatic signals</t>
  </si>
  <si>
    <t xml:space="preserve">METHODOLOGY NOTES</t>
  </si>
  <si>
    <t xml:space="preserve">1. This tab contains signals from our 16-agent analysis system that are NOT systematically tracked by Bloomberg Terminal, S&amp;P Capital IQ, or standard sell-side research.</t>
  </si>
  <si>
    <t xml:space="preserve">2. All "Bloomberg Has?" = NO entries represent genuine information edges where our system provides alpha-generating insights.</t>
  </si>
  <si>
    <t xml:space="preserve">3. Cross-Agent Correlations (Section 3) are UNIQUE to multi-agent systems — no single analyst can simultaneously process 93 dimensions and detect cross-dimensional patterns.</t>
  </si>
  <si>
    <t xml:space="preserve">4. Edge Quantification (Section 2) probability estimates are calibrated using our v2.1 methodology with adversarial stress testing (Agent 16).</t>
  </si>
  <si>
    <t xml:space="preserve">5. Alternative data sources include: app analytics (Sensor Tower/data.ai), satellite imagery (Planet Labs/Orbital Insight), web traffic (SimilarWeb/Semrush), patent filings (USPTO), social sentiment (NLP), and supply chain intelligence (trade data).</t>
  </si>
  <si>
    <t xml:space="preserve">6. DISCLAIMER: Alternative data signals have lower reliability than financial statement data. Confidence levels are provided for each signal. Use in conjunction with fundamental analysis, not as standalone indicators.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</si>
</sst>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%"/>
    <numFmt numFmtId="166" formatCode="#,##0;\(#,##0\);\-"/>
    <numFmt numFmtId="167" formatCode="#,##0"/>
    <numFmt numFmtId="168" formatCode="0.00"/>
    <numFmt numFmtId="169" formatCode="0.0\x"/>
    <numFmt numFmtId="170" formatCode="\$#,##0"/>
    <numFmt numFmtId="171" formatCode="\$#,##0.00"/>
    <numFmt numFmtId="172" formatCode="\$#,##0.0"/>
    <numFmt numFmtId="173" formatCode="0.0"/>
    <numFmt numFmtId="174" formatCode="0.0000"/>
    <numFmt numFmtId="175" formatCode="\$#,##0"/>
    <numFmt numFmtId="176" formatCode="\$#,##0.0;&quot;($&quot;#,##0.0\);\-"/>
    <numFmt numFmtId="177" formatCode="0%"/>
    <numFmt numFmtId="178" formatCode="0"/>
  </numFmts>
  <fonts count="3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4E79"/>
      <name val="Arial"/>
      <family val="0"/>
      <charset val="1"/>
    </font>
    <font>
      <b val="true"/>
      <sz val="14"/>
      <color rgb="FF333333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4"/>
      <color rgb="FF000000"/>
      <name val="Arial"/>
      <family val="0"/>
      <charset val="1"/>
    </font>
    <font>
      <i val="true"/>
      <sz val="9"/>
      <color rgb="FF99999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2"/>
      <color rgb="FF008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name val="Arial"/>
      <family val="0"/>
      <charset val="1"/>
    </font>
    <font>
      <sz val="10"/>
      <color rgb="FF9C6500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6600"/>
      <name val="Arial"/>
      <family val="0"/>
      <charset val="1"/>
    </font>
    <font>
      <b val="true"/>
      <sz val="10"/>
      <color rgb="FFCC0000"/>
      <name val="Arial"/>
      <family val="0"/>
      <charset val="1"/>
    </font>
    <font>
      <b val="true"/>
      <sz val="10"/>
      <color rgb="FFCC6600"/>
      <name val="Arial"/>
      <family val="0"/>
      <charset val="1"/>
    </font>
    <font>
      <b val="true"/>
      <sz val="10"/>
      <color rgb="FF4A1A6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33333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4A1A6B"/>
        <bgColor rgb="FF333333"/>
      </patternFill>
    </fill>
    <fill>
      <patternFill patternType="solid">
        <fgColor rgb="FF6A3D9A"/>
        <bgColor rgb="FF993366"/>
      </patternFill>
    </fill>
    <fill>
      <patternFill patternType="solid">
        <fgColor rgb="FF2E75B6"/>
        <bgColor rgb="FF4472C4"/>
      </patternFill>
    </fill>
    <fill>
      <patternFill patternType="solid">
        <fgColor rgb="FFF2F2F2"/>
        <bgColor rgb="FFE2EFDA"/>
      </patternFill>
    </fill>
    <fill>
      <patternFill patternType="solid">
        <fgColor rgb="FFE8D5F5"/>
        <bgColor rgb="FFD6E4F0"/>
      </patternFill>
    </fill>
    <fill>
      <patternFill patternType="solid">
        <fgColor rgb="FFFCE4EC"/>
        <bgColor rgb="FFF2F2F2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 style="thin"/>
      <bottom style="double"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1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22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1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9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1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7" fontId="7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6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76" fontId="12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3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0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3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2" fillId="11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7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30" fillId="6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1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8" fontId="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0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8" fontId="7" fillId="1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4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34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1" fillId="12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9C6500"/>
      <rgbColor rgb="FF800080"/>
      <rgbColor rgb="FF006600"/>
      <rgbColor rgb="FFB0B0B0"/>
      <rgbColor rgb="FF5B9BD5"/>
      <rgbColor rgb="FFA5A5A5"/>
      <rgbColor rgb="FF993366"/>
      <rgbColor rgb="FFFFF2CC"/>
      <rgbColor rgb="FFD6E4F0"/>
      <rgbColor rgb="FF4A1A6B"/>
      <rgbColor rgb="FFFF8080"/>
      <rgbColor rgb="FF2E75B6"/>
      <rgbColor rgb="FFE8D5F5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C"/>
      <rgbColor rgb="FF4472C4"/>
      <rgbColor rgb="FF33CCCC"/>
      <rgbColor rgb="FF99CC00"/>
      <rgbColor rgb="FFFFC000"/>
      <rgbColor rgb="FFCC6600"/>
      <rgbColor rgb="FFED7D31"/>
      <rgbColor rgb="FF6A3D9A"/>
      <rgbColor rgb="FF999999"/>
      <rgbColor rgb="FF003366"/>
      <rgbColor rgb="FF70AD47"/>
      <rgbColor rgb="FF0061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B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0"/>
    <col collapsed="false" customWidth="true" hidden="false" outlineLevel="0" max="3" min="3" style="1" width="30"/>
  </cols>
  <sheetData>
    <row r="1" customFormat="false" ht="15" hidden="false" customHeight="false" outlineLevel="0" collapsed="false"/>
    <row r="2" customFormat="false" ht="15" hidden="false" customHeight="false" outlineLevel="0" collapsed="false"/>
    <row r="3" customFormat="false" ht="24" hidden="false" customHeight="true" outlineLevel="0" collapsed="false">
      <c r="B3" s="2" t="s">
        <v>0</v>
      </c>
      <c r="C3" s="2"/>
    </row>
    <row r="4" customFormat="false" ht="15" hidden="false" customHeight="false" outlineLevel="0" collapsed="false"/>
    <row r="5" customFormat="false" ht="17.25" hidden="false" customHeight="true" outlineLevel="0" collapsed="false">
      <c r="B5" s="3" t="s">
        <v>1</v>
      </c>
      <c r="C5" s="3"/>
    </row>
    <row r="6" customFormat="false" ht="15" hidden="false" customHeight="false" outlineLevel="0" collapsed="false"/>
    <row r="7" customFormat="false" ht="15" hidden="false" customHeight="false" outlineLevel="0" collapsed="false"/>
    <row r="8" customFormat="false" ht="15" hidden="false" customHeight="true" outlineLevel="0" collapsed="false">
      <c r="B8" s="4" t="s">
        <v>2</v>
      </c>
      <c r="C8" s="5" t="s">
        <v>3</v>
      </c>
    </row>
    <row r="9" customFormat="false" ht="15" hidden="false" customHeight="true" outlineLevel="0" collapsed="false">
      <c r="B9" s="4" t="s">
        <v>4</v>
      </c>
      <c r="C9" s="5" t="s">
        <v>5</v>
      </c>
    </row>
    <row r="10" customFormat="false" ht="15" hidden="false" customHeight="true" outlineLevel="0" collapsed="false">
      <c r="B10" s="4" t="s">
        <v>6</v>
      </c>
      <c r="C10" s="5" t="s">
        <v>7</v>
      </c>
    </row>
    <row r="11" customFormat="false" ht="15" hidden="false" customHeight="true" outlineLevel="0" collapsed="false">
      <c r="B11" s="4" t="s">
        <v>8</v>
      </c>
      <c r="C11" s="5" t="s">
        <v>9</v>
      </c>
    </row>
    <row r="12" customFormat="false" ht="15" hidden="false" customHeight="true" outlineLevel="0" collapsed="false">
      <c r="B12" s="4" t="s">
        <v>10</v>
      </c>
      <c r="C12" s="5" t="s">
        <v>11</v>
      </c>
    </row>
    <row r="13" customFormat="false" ht="15" hidden="false" customHeight="true" outlineLevel="0" collapsed="false">
      <c r="B13" s="4" t="s">
        <v>12</v>
      </c>
      <c r="C13" s="5" t="s">
        <v>13</v>
      </c>
    </row>
    <row r="14" customFormat="false" ht="15" hidden="false" customHeight="false" outlineLevel="0" collapsed="false"/>
    <row r="15" customFormat="false" ht="15" hidden="false" customHeight="false" outlineLevel="0" collapsed="false"/>
    <row r="16" customFormat="false" ht="15" hidden="false" customHeight="true" outlineLevel="0" collapsed="false">
      <c r="B16" s="4" t="s">
        <v>14</v>
      </c>
    </row>
    <row r="17" customFormat="false" ht="15" hidden="false" customHeight="true" outlineLevel="0" collapsed="false">
      <c r="B17" s="4" t="s">
        <v>15</v>
      </c>
      <c r="C17" s="6" t="s">
        <v>16</v>
      </c>
    </row>
    <row r="18" customFormat="false" ht="15" hidden="false" customHeight="true" outlineLevel="0" collapsed="false">
      <c r="B18" s="4" t="s">
        <v>17</v>
      </c>
      <c r="C18" s="6" t="s">
        <v>18</v>
      </c>
    </row>
    <row r="19" customFormat="false" ht="15" hidden="false" customHeight="true" outlineLevel="0" collapsed="false">
      <c r="B19" s="4" t="s">
        <v>19</v>
      </c>
      <c r="C19" s="6" t="s">
        <v>20</v>
      </c>
    </row>
    <row r="20" customFormat="false" ht="15" hidden="false" customHeight="true" outlineLevel="0" collapsed="false">
      <c r="B20" s="4" t="s">
        <v>21</v>
      </c>
      <c r="C20" s="6" t="s">
        <v>22</v>
      </c>
    </row>
    <row r="21" customFormat="false" ht="15" hidden="false" customHeight="true" outlineLevel="0" collapsed="false">
      <c r="B21" s="4" t="s">
        <v>23</v>
      </c>
      <c r="C21" s="6" t="s">
        <v>24</v>
      </c>
    </row>
    <row r="22" customFormat="false" ht="15" hidden="false" customHeight="true" outlineLevel="0" collapsed="false">
      <c r="B22" s="4" t="s">
        <v>25</v>
      </c>
      <c r="C22" s="6" t="s">
        <v>26</v>
      </c>
    </row>
    <row r="23" customFormat="false" ht="15" hidden="false" customHeight="true" outlineLevel="0" collapsed="false">
      <c r="B23" s="4" t="s">
        <v>27</v>
      </c>
      <c r="C23" s="6" t="s">
        <v>28</v>
      </c>
    </row>
    <row r="24" customFormat="false" ht="15" hidden="false" customHeight="true" outlineLevel="0" collapsed="false">
      <c r="B24" s="4" t="s">
        <v>29</v>
      </c>
      <c r="C24" s="6" t="s">
        <v>30</v>
      </c>
    </row>
    <row r="25" customFormat="false" ht="15" hidden="false" customHeight="true" outlineLevel="0" collapsed="false">
      <c r="B25" s="4" t="s">
        <v>31</v>
      </c>
      <c r="C25" s="6" t="s">
        <v>32</v>
      </c>
    </row>
    <row r="26" customFormat="false" ht="15" hidden="false" customHeight="true" outlineLevel="0" collapsed="false">
      <c r="B26" s="4" t="s">
        <v>33</v>
      </c>
      <c r="C26" s="6" t="s">
        <v>34</v>
      </c>
    </row>
    <row r="27" customFormat="false" ht="15" hidden="false" customHeight="true" outlineLevel="0" collapsed="false">
      <c r="B27" s="4" t="s">
        <v>35</v>
      </c>
      <c r="C27" s="6" t="s">
        <v>36</v>
      </c>
    </row>
    <row r="28" customFormat="false" ht="15" hidden="false" customHeight="true" outlineLevel="0" collapsed="false">
      <c r="B28" s="4" t="s">
        <v>37</v>
      </c>
      <c r="C28" s="6" t="s">
        <v>38</v>
      </c>
    </row>
    <row r="29" customFormat="false" ht="15" hidden="false" customHeight="true" outlineLevel="0" collapsed="false">
      <c r="B29" s="4" t="s">
        <v>39</v>
      </c>
      <c r="C29" s="6" t="s">
        <v>40</v>
      </c>
    </row>
    <row r="30" customFormat="false" ht="15" hidden="false" customHeight="false" outlineLevel="0" collapsed="false"/>
    <row r="31" customFormat="false" ht="15" hidden="false" customHeight="false" outlineLevel="0" collapsed="false"/>
    <row r="32" customFormat="false" ht="15" hidden="false" customHeight="true" outlineLevel="0" collapsed="false">
      <c r="B32" s="4" t="s">
        <v>41</v>
      </c>
    </row>
    <row r="33" customFormat="false" ht="15" hidden="false" customHeight="true" outlineLevel="0" collapsed="false">
      <c r="B33" s="7" t="s">
        <v>42</v>
      </c>
      <c r="C33" s="6" t="s">
        <v>43</v>
      </c>
    </row>
    <row r="34" customFormat="false" ht="15" hidden="false" customHeight="true" outlineLevel="0" collapsed="false">
      <c r="B34" s="6" t="s">
        <v>44</v>
      </c>
      <c r="C34" s="6" t="s">
        <v>45</v>
      </c>
    </row>
    <row r="35" customFormat="false" ht="15" hidden="false" customHeight="true" outlineLevel="0" collapsed="false">
      <c r="B35" s="8" t="s">
        <v>46</v>
      </c>
      <c r="C35" s="6" t="s">
        <v>47</v>
      </c>
    </row>
    <row r="36" customFormat="false" ht="15" hidden="false" customHeight="true" outlineLevel="0" collapsed="false">
      <c r="B36" s="9"/>
      <c r="C36" s="6" t="s">
        <v>48</v>
      </c>
    </row>
  </sheetData>
  <mergeCells count="2">
    <mergeCell ref="B3:C3"/>
    <mergeCell ref="B5:C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J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49</v>
      </c>
    </row>
    <row r="2" customFormat="false" ht="15" hidden="false" customHeight="true" outlineLevel="0" collapsed="false">
      <c r="A2" s="11" t="s">
        <v>50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51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61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62</v>
      </c>
      <c r="B6" s="15"/>
      <c r="C6" s="15" t="n">
        <v>0.15</v>
      </c>
      <c r="D6" s="15" t="n">
        <v>0.01</v>
      </c>
      <c r="E6" s="15" t="n">
        <v>0.12</v>
      </c>
      <c r="F6" s="15" t="n">
        <v>0.18</v>
      </c>
      <c r="G6" s="15" t="n">
        <v>0.2</v>
      </c>
      <c r="H6" s="15" t="n">
        <v>0.18</v>
      </c>
      <c r="I6" s="15" t="n">
        <v>0.15</v>
      </c>
      <c r="J6" s="15" t="n">
        <v>0.12</v>
      </c>
    </row>
    <row r="7" customFormat="false" ht="15" hidden="false" customHeight="true" outlineLevel="0" collapsed="false">
      <c r="A7" s="6" t="s">
        <v>63</v>
      </c>
      <c r="B7" s="15"/>
      <c r="C7" s="15" t="n">
        <v>0.4</v>
      </c>
      <c r="D7" s="15" t="n">
        <v>0.54</v>
      </c>
      <c r="E7" s="15" t="n">
        <v>0.81</v>
      </c>
      <c r="F7" s="15" t="n">
        <v>0.6</v>
      </c>
      <c r="G7" s="15" t="n">
        <v>0.5</v>
      </c>
      <c r="H7" s="15" t="n">
        <v>0.45</v>
      </c>
      <c r="I7" s="15" t="n">
        <v>0.4</v>
      </c>
      <c r="J7" s="15" t="n">
        <v>0.35</v>
      </c>
    </row>
    <row r="8" customFormat="false" ht="15" hidden="false" customHeight="true" outlineLevel="0" collapsed="false">
      <c r="A8" s="6" t="s">
        <v>64</v>
      </c>
      <c r="B8" s="15"/>
      <c r="C8" s="15" t="n">
        <v>0.3</v>
      </c>
      <c r="D8" s="15" t="n">
        <v>0.25</v>
      </c>
      <c r="E8" s="15" t="n">
        <v>0.2</v>
      </c>
      <c r="F8" s="15" t="n">
        <v>0.25</v>
      </c>
      <c r="G8" s="15" t="n">
        <v>0.22</v>
      </c>
      <c r="H8" s="15" t="n">
        <v>0.2</v>
      </c>
      <c r="I8" s="15" t="n">
        <v>0.18</v>
      </c>
      <c r="J8" s="15" t="n">
        <v>0.15</v>
      </c>
    </row>
    <row r="9" customFormat="false" ht="15" hidden="false" customHeight="true" outlineLevel="0" collapsed="false">
      <c r="A9" s="6" t="s">
        <v>65</v>
      </c>
      <c r="B9" s="16" t="n">
        <v>71462</v>
      </c>
      <c r="C9" s="16" t="n">
        <v>82419</v>
      </c>
      <c r="D9" s="16" t="n">
        <v>83205</v>
      </c>
      <c r="E9" s="17" t="n">
        <v>93190</v>
      </c>
      <c r="F9" s="17" t="n">
        <v>109964</v>
      </c>
      <c r="G9" s="17" t="n">
        <v>131957</v>
      </c>
      <c r="H9" s="17" t="n">
        <v>155710</v>
      </c>
      <c r="I9" s="17" t="n">
        <v>179067</v>
      </c>
      <c r="J9" s="17" t="n">
        <v>200555</v>
      </c>
    </row>
    <row r="10" customFormat="false" ht="15" hidden="false" customHeight="true" outlineLevel="0" collapsed="false">
      <c r="A10" s="6" t="s">
        <v>66</v>
      </c>
      <c r="B10" s="16" t="n">
        <v>3909</v>
      </c>
      <c r="C10" s="16" t="n">
        <v>6035</v>
      </c>
      <c r="D10" s="16" t="n">
        <v>10382</v>
      </c>
      <c r="E10" s="17" t="n">
        <v>18791</v>
      </c>
      <c r="F10" s="17" t="n">
        <v>30066</v>
      </c>
      <c r="G10" s="17" t="n">
        <v>45099</v>
      </c>
      <c r="H10" s="17" t="n">
        <v>65393</v>
      </c>
      <c r="I10" s="17" t="n">
        <v>91550</v>
      </c>
      <c r="J10" s="17" t="n">
        <v>123593</v>
      </c>
    </row>
    <row r="11" customFormat="false" ht="15" hidden="false" customHeight="true" outlineLevel="0" collapsed="false">
      <c r="A11" s="6" t="s">
        <v>67</v>
      </c>
      <c r="B11" s="16" t="n">
        <v>6091</v>
      </c>
      <c r="C11" s="16" t="n">
        <v>8319</v>
      </c>
      <c r="D11" s="16" t="n">
        <v>10467</v>
      </c>
      <c r="E11" s="17" t="n">
        <v>12560</v>
      </c>
      <c r="F11" s="17" t="n">
        <v>15700</v>
      </c>
      <c r="G11" s="17" t="n">
        <v>19154</v>
      </c>
      <c r="H11" s="17" t="n">
        <v>22985</v>
      </c>
      <c r="I11" s="17" t="n">
        <v>27122</v>
      </c>
      <c r="J11" s="17" t="n">
        <v>31190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13" t="s">
        <v>68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69</v>
      </c>
      <c r="B14" s="18" t="n">
        <v>0.256</v>
      </c>
      <c r="C14" s="18" t="n">
        <v>0.183</v>
      </c>
      <c r="D14" s="18" t="n">
        <v>0.178</v>
      </c>
      <c r="E14" s="15" t="n">
        <v>0.182</v>
      </c>
      <c r="F14" s="15" t="n">
        <v>0.195</v>
      </c>
      <c r="G14" s="15" t="n">
        <v>0.21</v>
      </c>
      <c r="H14" s="15" t="n">
        <v>0.225</v>
      </c>
      <c r="I14" s="15" t="n">
        <v>0.235</v>
      </c>
      <c r="J14" s="15" t="n">
        <v>0.245</v>
      </c>
    </row>
    <row r="15" customFormat="false" ht="15" hidden="false" customHeight="true" outlineLevel="0" collapsed="false">
      <c r="A15" s="6" t="s">
        <v>70</v>
      </c>
      <c r="B15" s="18" t="n">
        <v>0.05</v>
      </c>
      <c r="C15" s="18" t="n">
        <v>0.048</v>
      </c>
      <c r="D15" s="18" t="n">
        <v>0.046</v>
      </c>
      <c r="E15" s="15" t="n">
        <v>0.044</v>
      </c>
      <c r="F15" s="15" t="n">
        <v>0.042</v>
      </c>
      <c r="G15" s="15" t="n">
        <v>0.04</v>
      </c>
      <c r="H15" s="15" t="n">
        <v>0.038</v>
      </c>
      <c r="I15" s="15" t="n">
        <v>0.036</v>
      </c>
      <c r="J15" s="15" t="n">
        <v>0.035</v>
      </c>
    </row>
    <row r="16" customFormat="false" ht="15" hidden="false" customHeight="true" outlineLevel="0" collapsed="false">
      <c r="A16" s="6" t="s">
        <v>71</v>
      </c>
      <c r="B16" s="18" t="n">
        <v>0.04</v>
      </c>
      <c r="C16" s="18" t="n">
        <v>0.038</v>
      </c>
      <c r="D16" s="18" t="n">
        <v>0.036</v>
      </c>
      <c r="E16" s="15" t="n">
        <v>0.034</v>
      </c>
      <c r="F16" s="15" t="n">
        <v>0.032</v>
      </c>
      <c r="G16" s="15" t="n">
        <v>0.03</v>
      </c>
      <c r="H16" s="15" t="n">
        <v>0.028</v>
      </c>
      <c r="I16" s="15" t="n">
        <v>0.026</v>
      </c>
      <c r="J16" s="15" t="n">
        <v>0.025</v>
      </c>
    </row>
    <row r="17" customFormat="false" ht="15" hidden="false" customHeight="true" outlineLevel="0" collapsed="false">
      <c r="A17" s="6" t="s">
        <v>72</v>
      </c>
      <c r="B17" s="18" t="n">
        <v>0.045</v>
      </c>
      <c r="C17" s="18" t="n">
        <v>0.048</v>
      </c>
      <c r="D17" s="18" t="n">
        <v>0.05</v>
      </c>
      <c r="E17" s="15" t="n">
        <v>0.048</v>
      </c>
      <c r="F17" s="15" t="n">
        <v>0.046</v>
      </c>
      <c r="G17" s="15" t="n">
        <v>0.044</v>
      </c>
      <c r="H17" s="15" t="n">
        <v>0.042</v>
      </c>
      <c r="I17" s="15" t="n">
        <v>0.04</v>
      </c>
      <c r="J17" s="15" t="n">
        <v>0.038</v>
      </c>
    </row>
    <row r="18" customFormat="false" ht="15" hidden="false" customHeight="true" outlineLevel="0" collapsed="false">
      <c r="A18" s="6" t="s">
        <v>73</v>
      </c>
      <c r="B18" s="18" t="n">
        <v>0.168</v>
      </c>
      <c r="C18" s="18" t="n">
        <v>0.092</v>
      </c>
      <c r="D18" s="18" t="n">
        <v>0.087</v>
      </c>
      <c r="E18" s="15" t="n">
        <v>0.095</v>
      </c>
      <c r="F18" s="15" t="n">
        <v>0.115</v>
      </c>
      <c r="G18" s="15" t="n">
        <v>0.135</v>
      </c>
      <c r="H18" s="15" t="n">
        <v>0.155</v>
      </c>
      <c r="I18" s="15" t="n">
        <v>0.17</v>
      </c>
      <c r="J18" s="15" t="n">
        <v>0.185</v>
      </c>
    </row>
    <row r="19" customFormat="false" ht="15" hidden="false" customHeight="true" outlineLevel="0" collapsed="false">
      <c r="A19" s="6" t="s">
        <v>74</v>
      </c>
      <c r="B19" s="18" t="n">
        <v>0.08</v>
      </c>
      <c r="C19" s="18" t="n">
        <v>0.1</v>
      </c>
      <c r="D19" s="18" t="n">
        <v>0.12</v>
      </c>
      <c r="E19" s="15" t="n">
        <v>0.14</v>
      </c>
      <c r="F19" s="15" t="n">
        <v>0.15</v>
      </c>
      <c r="G19" s="15" t="n">
        <v>0.16</v>
      </c>
      <c r="H19" s="15" t="n">
        <v>0.17</v>
      </c>
      <c r="I19" s="15" t="n">
        <v>0.18</v>
      </c>
      <c r="J19" s="15" t="n">
        <v>0.18</v>
      </c>
    </row>
    <row r="20" customFormat="false" ht="15" hidden="false" customHeight="false" outlineLevel="0" collapsed="false"/>
    <row r="21" customFormat="false" ht="15" hidden="false" customHeight="false" outlineLevel="0" collapsed="false"/>
    <row r="22" customFormat="false" ht="15" hidden="false" customHeight="true" outlineLevel="0" collapsed="false">
      <c r="A22" s="13" t="s">
        <v>75</v>
      </c>
      <c r="B22" s="14"/>
      <c r="C22" s="14"/>
      <c r="D22" s="14"/>
      <c r="E22" s="14"/>
      <c r="F22" s="14"/>
      <c r="G22" s="14"/>
      <c r="H22" s="14"/>
      <c r="I22" s="14"/>
      <c r="J22" s="14"/>
    </row>
    <row r="23" customFormat="false" ht="15" hidden="false" customHeight="true" outlineLevel="0" collapsed="false">
      <c r="A23" s="6" t="s">
        <v>76</v>
      </c>
      <c r="B23" s="15" t="n">
        <v>0.065</v>
      </c>
      <c r="C23" s="15" t="n">
        <v>0.075</v>
      </c>
      <c r="D23" s="15" t="n">
        <v>0.085</v>
      </c>
      <c r="E23" s="15" t="n">
        <v>0.08</v>
      </c>
      <c r="F23" s="15" t="n">
        <v>0.075</v>
      </c>
      <c r="G23" s="15" t="n">
        <v>0.07</v>
      </c>
      <c r="H23" s="15" t="n">
        <v>0.065</v>
      </c>
      <c r="I23" s="15" t="n">
        <v>0.06</v>
      </c>
      <c r="J23" s="15" t="n">
        <v>0.055</v>
      </c>
    </row>
    <row r="24" customFormat="false" ht="15" hidden="false" customHeight="true" outlineLevel="0" collapsed="false">
      <c r="A24" s="6" t="s">
        <v>77</v>
      </c>
      <c r="B24" s="1" t="n">
        <v>0.02</v>
      </c>
      <c r="C24" s="15" t="n">
        <v>0.03</v>
      </c>
      <c r="D24" s="15" t="n">
        <v>0.03</v>
      </c>
      <c r="E24" s="15" t="n">
        <v>0.03</v>
      </c>
      <c r="F24" s="15" t="n">
        <v>0.03</v>
      </c>
      <c r="G24" s="15" t="n">
        <v>0.03</v>
      </c>
      <c r="H24" s="15" t="n">
        <v>0.03</v>
      </c>
      <c r="I24" s="15" t="n">
        <v>0.03</v>
      </c>
      <c r="J24" s="15" t="n">
        <v>0.03</v>
      </c>
    </row>
    <row r="25" customFormat="false" ht="15" hidden="false" customHeight="true" outlineLevel="0" collapsed="false">
      <c r="A25" s="6" t="s">
        <v>78</v>
      </c>
      <c r="B25" s="19" t="n">
        <v>3475</v>
      </c>
      <c r="C25" s="19" t="n">
        <v>3485</v>
      </c>
      <c r="D25" s="19" t="n">
        <v>3495</v>
      </c>
      <c r="E25" s="19" t="n">
        <v>3510</v>
      </c>
      <c r="F25" s="19" t="n">
        <v>3530</v>
      </c>
      <c r="G25" s="19" t="n">
        <v>3555</v>
      </c>
      <c r="H25" s="19" t="n">
        <v>3580</v>
      </c>
      <c r="I25" s="19" t="n">
        <v>3610</v>
      </c>
      <c r="J25" s="19" t="n">
        <v>3640</v>
      </c>
    </row>
    <row r="26" customFormat="false" ht="15" hidden="false" customHeight="true" outlineLevel="0" collapsed="false">
      <c r="A26" s="6" t="s">
        <v>79</v>
      </c>
      <c r="B26" s="20" t="n">
        <v>0.043</v>
      </c>
      <c r="E26" s="15" t="n">
        <v>0.042</v>
      </c>
      <c r="F26" s="15" t="n">
        <v>0.042</v>
      </c>
      <c r="G26" s="15" t="n">
        <v>0.042</v>
      </c>
      <c r="H26" s="15" t="n">
        <v>0.042</v>
      </c>
      <c r="I26" s="15" t="n">
        <v>0.042</v>
      </c>
      <c r="J26" s="15" t="n">
        <v>0.042</v>
      </c>
    </row>
    <row r="27" customFormat="false" ht="15" hidden="false" customHeight="true" outlineLevel="0" collapsed="false">
      <c r="A27" s="6" t="s">
        <v>80</v>
      </c>
      <c r="B27" s="20" t="n">
        <v>0.055</v>
      </c>
      <c r="E27" s="15" t="n">
        <v>0.055</v>
      </c>
      <c r="F27" s="15" t="n">
        <v>0.055</v>
      </c>
      <c r="G27" s="15" t="n">
        <v>0.055</v>
      </c>
      <c r="H27" s="15" t="n">
        <v>0.055</v>
      </c>
      <c r="I27" s="15" t="n">
        <v>0.055</v>
      </c>
      <c r="J27" s="15" t="n">
        <v>0.055</v>
      </c>
    </row>
    <row r="28" customFormat="false" ht="15" hidden="false" customHeight="true" outlineLevel="0" collapsed="false">
      <c r="A28" s="6" t="s">
        <v>81</v>
      </c>
      <c r="B28" s="21" t="n">
        <v>1.85</v>
      </c>
      <c r="E28" s="22" t="n">
        <v>1.8</v>
      </c>
      <c r="F28" s="22" t="n">
        <v>1.8</v>
      </c>
      <c r="G28" s="22" t="n">
        <v>1.8</v>
      </c>
      <c r="H28" s="22" t="n">
        <v>1.8</v>
      </c>
      <c r="I28" s="22" t="n">
        <v>1.8</v>
      </c>
      <c r="J28" s="22" t="n">
        <v>1.8</v>
      </c>
    </row>
    <row r="29" customFormat="false" ht="15" hidden="false" customHeight="true" outlineLevel="0" collapsed="false">
      <c r="A29" s="6" t="s">
        <v>82</v>
      </c>
      <c r="B29" s="20" t="n">
        <v>0.03</v>
      </c>
      <c r="E29" s="15" t="n">
        <v>0.03</v>
      </c>
      <c r="F29" s="15" t="n">
        <v>0.03</v>
      </c>
      <c r="G29" s="15" t="n">
        <v>0.03</v>
      </c>
      <c r="H29" s="15" t="n">
        <v>0.03</v>
      </c>
      <c r="I29" s="15" t="n">
        <v>0.03</v>
      </c>
      <c r="J29" s="15" t="n">
        <v>0.03</v>
      </c>
    </row>
    <row r="30" customFormat="false" ht="15" hidden="false" customHeight="true" outlineLevel="0" collapsed="false">
      <c r="A30" s="6" t="s">
        <v>83</v>
      </c>
      <c r="B30" s="23" t="n">
        <v>401</v>
      </c>
      <c r="E30" s="24" t="n">
        <v>401</v>
      </c>
    </row>
    <row r="31" customFormat="false" ht="15" hidden="false" customHeight="false" outlineLevel="0" collapsed="false"/>
    <row r="32" customFormat="false" ht="15" hidden="false" customHeight="false" outlineLevel="0" collapsed="false"/>
    <row r="33" customFormat="false" ht="15" hidden="false" customHeight="false" outlineLevel="0" collapsed="false"/>
    <row r="34" customFormat="false" ht="15" hidden="false" customHeight="false" outlineLevel="0" collapsed="false"/>
    <row r="35" customFormat="false" ht="15" hidden="false" customHeight="false" outlineLevel="0" collapsed="false"/>
    <row r="36" customFormat="false" ht="15" hidden="false" customHeight="false" outlineLevel="0" collapsed="false"/>
    <row r="37" customFormat="false" ht="15" hidden="false" customHeight="false" outlineLevel="0" collapsed="false"/>
    <row r="38" customFormat="false" ht="15" hidden="false" customHeight="false" outlineLevel="0" collapsed="false"/>
    <row r="39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84</v>
      </c>
    </row>
    <row r="2" customFormat="false" ht="15" hidden="false" customHeight="true" outlineLevel="0" collapsed="false">
      <c r="A2" s="11" t="s">
        <v>85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86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87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88</v>
      </c>
      <c r="B6" s="25" t="n">
        <f aca="false">Assumptions!B9</f>
        <v>71462</v>
      </c>
      <c r="C6" s="25" t="n">
        <f aca="false">Assumptions!C9</f>
        <v>82419</v>
      </c>
      <c r="D6" s="25" t="n">
        <f aca="false">Assumptions!D9</f>
        <v>83205</v>
      </c>
      <c r="E6" s="25" t="n">
        <f aca="false">Assumptions!E9</f>
        <v>93190</v>
      </c>
      <c r="F6" s="25" t="n">
        <f aca="false">Assumptions!F9</f>
        <v>109964</v>
      </c>
      <c r="G6" s="25" t="n">
        <f aca="false">Assumptions!G9</f>
        <v>131957</v>
      </c>
      <c r="H6" s="25" t="n">
        <f aca="false">Assumptions!H9</f>
        <v>155710</v>
      </c>
      <c r="I6" s="25" t="n">
        <f aca="false">Assumptions!I9</f>
        <v>179067</v>
      </c>
      <c r="J6" s="25" t="n">
        <f aca="false">Assumptions!J9</f>
        <v>200555</v>
      </c>
    </row>
    <row r="7" customFormat="false" ht="15" hidden="false" customHeight="true" outlineLevel="0" collapsed="false">
      <c r="A7" s="6" t="s">
        <v>89</v>
      </c>
      <c r="B7" s="25" t="n">
        <f aca="false">Assumptions!B10</f>
        <v>3909</v>
      </c>
      <c r="C7" s="25" t="n">
        <f aca="false">Assumptions!C10</f>
        <v>6035</v>
      </c>
      <c r="D7" s="25" t="n">
        <f aca="false">Assumptions!D10</f>
        <v>10382</v>
      </c>
      <c r="E7" s="25" t="n">
        <f aca="false">Assumptions!E10</f>
        <v>18791</v>
      </c>
      <c r="F7" s="25" t="n">
        <f aca="false">Assumptions!F10</f>
        <v>30066</v>
      </c>
      <c r="G7" s="25" t="n">
        <f aca="false">Assumptions!G10</f>
        <v>45099</v>
      </c>
      <c r="H7" s="25" t="n">
        <f aca="false">Assumptions!H10</f>
        <v>65393</v>
      </c>
      <c r="I7" s="25" t="n">
        <f aca="false">Assumptions!I10</f>
        <v>91550</v>
      </c>
      <c r="J7" s="25" t="n">
        <f aca="false">Assumptions!J10</f>
        <v>123593</v>
      </c>
    </row>
    <row r="8" customFormat="false" ht="15" hidden="false" customHeight="true" outlineLevel="0" collapsed="false">
      <c r="A8" s="6" t="s">
        <v>90</v>
      </c>
      <c r="B8" s="25" t="n">
        <f aca="false">Assumptions!B11</f>
        <v>6091</v>
      </c>
      <c r="C8" s="25" t="n">
        <f aca="false">Assumptions!C11</f>
        <v>8319</v>
      </c>
      <c r="D8" s="25" t="n">
        <f aca="false">Assumptions!D11</f>
        <v>10467</v>
      </c>
      <c r="E8" s="25" t="n">
        <f aca="false">Assumptions!E11</f>
        <v>12560</v>
      </c>
      <c r="F8" s="25" t="n">
        <f aca="false">Assumptions!F11</f>
        <v>15700</v>
      </c>
      <c r="G8" s="25" t="n">
        <f aca="false">Assumptions!G11</f>
        <v>19154</v>
      </c>
      <c r="H8" s="25" t="n">
        <f aca="false">Assumptions!H11</f>
        <v>22985</v>
      </c>
      <c r="I8" s="25" t="n">
        <f aca="false">Assumptions!I11</f>
        <v>27122</v>
      </c>
      <c r="J8" s="25" t="n">
        <f aca="false">Assumptions!J11</f>
        <v>31190</v>
      </c>
    </row>
    <row r="9" customFormat="false" ht="15" hidden="false" customHeight="true" outlineLevel="0" collapsed="false">
      <c r="A9" s="4" t="s">
        <v>91</v>
      </c>
      <c r="B9" s="26" t="n">
        <f aca="false">SUM(B6:B8)</f>
        <v>81462</v>
      </c>
      <c r="C9" s="26" t="n">
        <f aca="false">SUM(C6:C8)</f>
        <v>96773</v>
      </c>
      <c r="D9" s="26" t="n">
        <f aca="false">SUM(D6:D8)</f>
        <v>104054</v>
      </c>
      <c r="E9" s="26" t="n">
        <f aca="false">SUM(E6:E8)</f>
        <v>124541</v>
      </c>
      <c r="F9" s="26" t="n">
        <f aca="false">SUM(F6:F8)</f>
        <v>155730</v>
      </c>
      <c r="G9" s="26" t="n">
        <f aca="false">SUM(G6:G8)</f>
        <v>196210</v>
      </c>
      <c r="H9" s="26" t="n">
        <f aca="false">SUM(H6:H8)</f>
        <v>244088</v>
      </c>
      <c r="I9" s="26" t="n">
        <f aca="false">SUM(I6:I8)</f>
        <v>297739</v>
      </c>
      <c r="J9" s="26" t="n">
        <f aca="false">SUM(J6:J8)</f>
        <v>355338</v>
      </c>
    </row>
    <row r="10" customFormat="false" ht="15" hidden="false" customHeight="true" outlineLevel="0" collapsed="false">
      <c r="A10" s="11" t="s">
        <v>92</v>
      </c>
      <c r="C10" s="27" t="n">
        <f aca="false">IFERROR((C9-B9)/B9,0)</f>
        <v>0.187952665046279</v>
      </c>
      <c r="D10" s="27" t="n">
        <f aca="false">IFERROR((D9-C9)/C9,0)</f>
        <v>0.0752379279344445</v>
      </c>
      <c r="E10" s="27" t="n">
        <f aca="false">IFERROR((E9-D9)/D9,0)</f>
        <v>0.196888154227613</v>
      </c>
      <c r="F10" s="27" t="n">
        <f aca="false">IFERROR((F9-E9)/E9,0)</f>
        <v>0.25043158477931</v>
      </c>
      <c r="G10" s="27" t="n">
        <f aca="false">IFERROR((G9-F9)/F9,0)</f>
        <v>0.25993707057086</v>
      </c>
      <c r="H10" s="27" t="n">
        <f aca="false">IFERROR((H9-G9)/G9,0)</f>
        <v>0.244014066561337</v>
      </c>
      <c r="I10" s="27" t="n">
        <f aca="false">IFERROR((I9-H9)/H9,0)</f>
        <v>0.219801874733703</v>
      </c>
      <c r="J10" s="27" t="n">
        <f aca="false">IFERROR((J9-I9)/I9,0)</f>
        <v>0.193454670029791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13" t="s">
        <v>93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6" t="s">
        <v>94</v>
      </c>
      <c r="B13" s="16" t="n">
        <f aca="false">-B9*(1-Assumptions!B14)</f>
        <v>-60607.728</v>
      </c>
      <c r="C13" s="16" t="n">
        <f aca="false">-C9*(1-Assumptions!C14)</f>
        <v>-79063.541</v>
      </c>
      <c r="D13" s="16" t="n">
        <f aca="false">-D9*(1-Assumptions!D14)</f>
        <v>-85532.388</v>
      </c>
      <c r="E13" s="16" t="n">
        <f aca="false">-E9*(1-Assumptions!E14)</f>
        <v>-101874.538</v>
      </c>
      <c r="F13" s="16" t="n">
        <f aca="false">-F9*(1-Assumptions!F14)</f>
        <v>-125362.65</v>
      </c>
      <c r="G13" s="16" t="n">
        <f aca="false">-G9*(1-Assumptions!G14)</f>
        <v>-155005.9</v>
      </c>
      <c r="H13" s="16" t="n">
        <f aca="false">-H9*(1-Assumptions!H14)</f>
        <v>-189168.2</v>
      </c>
      <c r="I13" s="16" t="n">
        <f aca="false">-I9*(1-Assumptions!I14)</f>
        <v>-227770.335</v>
      </c>
      <c r="J13" s="16" t="n">
        <f aca="false">-J9*(1-Assumptions!J14)</f>
        <v>-268280.19</v>
      </c>
    </row>
    <row r="14" customFormat="false" ht="15" hidden="false" customHeight="true" outlineLevel="0" collapsed="false">
      <c r="A14" s="4" t="s">
        <v>95</v>
      </c>
      <c r="B14" s="28" t="n">
        <f aca="false">B9+B13</f>
        <v>20854.272</v>
      </c>
      <c r="C14" s="28" t="n">
        <f aca="false">C9+C13</f>
        <v>17709.459</v>
      </c>
      <c r="D14" s="28" t="n">
        <f aca="false">D9+D13</f>
        <v>18521.612</v>
      </c>
      <c r="E14" s="28" t="n">
        <f aca="false">E9+E13</f>
        <v>22666.462</v>
      </c>
      <c r="F14" s="28" t="n">
        <f aca="false">F9+F13</f>
        <v>30367.35</v>
      </c>
      <c r="G14" s="28" t="n">
        <f aca="false">G9+G13</f>
        <v>41204.1</v>
      </c>
      <c r="H14" s="28" t="n">
        <f aca="false">H9+H13</f>
        <v>54919.8</v>
      </c>
      <c r="I14" s="28" t="n">
        <f aca="false">I9+I13</f>
        <v>69968.665</v>
      </c>
      <c r="J14" s="28" t="n">
        <f aca="false">J9+J13</f>
        <v>87057.81</v>
      </c>
    </row>
    <row r="15" customFormat="false" ht="15" hidden="false" customHeight="true" outlineLevel="0" collapsed="false">
      <c r="A15" s="11" t="s">
        <v>96</v>
      </c>
      <c r="B15" s="27" t="n">
        <f aca="false">IFERROR(B14/B9,0)</f>
        <v>0.256</v>
      </c>
      <c r="C15" s="27" t="n">
        <f aca="false">IFERROR(C14/C9,0)</f>
        <v>0.183</v>
      </c>
      <c r="D15" s="27" t="n">
        <f aca="false">IFERROR(D14/D9,0)</f>
        <v>0.178</v>
      </c>
      <c r="E15" s="27" t="n">
        <f aca="false">IFERROR(E14/E9,0)</f>
        <v>0.182</v>
      </c>
      <c r="F15" s="27" t="n">
        <f aca="false">IFERROR(F14/F9,0)</f>
        <v>0.195</v>
      </c>
      <c r="G15" s="27" t="n">
        <f aca="false">IFERROR(G14/G9,0)</f>
        <v>0.21</v>
      </c>
      <c r="H15" s="27" t="n">
        <f aca="false">IFERROR(H14/H9,0)</f>
        <v>0.225</v>
      </c>
      <c r="I15" s="27" t="n">
        <f aca="false">IFERROR(I14/I9,0)</f>
        <v>0.235</v>
      </c>
      <c r="J15" s="27" t="n">
        <f aca="false">IFERROR(J14/J9,0)</f>
        <v>0.245</v>
      </c>
    </row>
    <row r="16" customFormat="false" ht="15" hidden="false" customHeight="false" outlineLevel="0" collapsed="false"/>
    <row r="17" customFormat="false" ht="15" hidden="false" customHeight="true" outlineLevel="0" collapsed="false">
      <c r="A17" s="13" t="s">
        <v>97</v>
      </c>
      <c r="B17" s="14"/>
      <c r="C17" s="14"/>
      <c r="D17" s="14"/>
      <c r="E17" s="14"/>
      <c r="F17" s="14"/>
      <c r="G17" s="14"/>
      <c r="H17" s="14"/>
      <c r="I17" s="14"/>
      <c r="J17" s="14"/>
    </row>
    <row r="18" customFormat="false" ht="15" hidden="false" customHeight="true" outlineLevel="0" collapsed="false">
      <c r="A18" s="6" t="s">
        <v>98</v>
      </c>
      <c r="B18" s="16" t="n">
        <f aca="false">-B9*Assumptions!B15</f>
        <v>-4073.1</v>
      </c>
      <c r="C18" s="16" t="n">
        <f aca="false">-C9*Assumptions!C15</f>
        <v>-4645.104</v>
      </c>
      <c r="D18" s="16" t="n">
        <f aca="false">-D9*Assumptions!D15</f>
        <v>-4786.484</v>
      </c>
      <c r="E18" s="16" t="n">
        <f aca="false">-E9*Assumptions!E15</f>
        <v>-5479.804</v>
      </c>
      <c r="F18" s="16" t="n">
        <f aca="false">-F9*Assumptions!F15</f>
        <v>-6540.66</v>
      </c>
      <c r="G18" s="16" t="n">
        <f aca="false">-G9*Assumptions!G15</f>
        <v>-7848.4</v>
      </c>
      <c r="H18" s="16" t="n">
        <f aca="false">-H9*Assumptions!H15</f>
        <v>-9275.344</v>
      </c>
      <c r="I18" s="16" t="n">
        <f aca="false">-I9*Assumptions!I15</f>
        <v>-10718.604</v>
      </c>
      <c r="J18" s="16" t="n">
        <f aca="false">-J9*Assumptions!J15</f>
        <v>-12436.83</v>
      </c>
    </row>
    <row r="19" customFormat="false" ht="15" hidden="false" customHeight="true" outlineLevel="0" collapsed="false">
      <c r="A19" s="6" t="s">
        <v>99</v>
      </c>
      <c r="B19" s="16" t="n">
        <f aca="false">-B9*Assumptions!B16</f>
        <v>-3258.48</v>
      </c>
      <c r="C19" s="16" t="n">
        <f aca="false">-C9*Assumptions!C16</f>
        <v>-3677.374</v>
      </c>
      <c r="D19" s="16" t="n">
        <f aca="false">-D9*Assumptions!D16</f>
        <v>-3745.944</v>
      </c>
      <c r="E19" s="16" t="n">
        <f aca="false">-E9*Assumptions!E16</f>
        <v>-4234.394</v>
      </c>
      <c r="F19" s="16" t="n">
        <f aca="false">-F9*Assumptions!F16</f>
        <v>-4983.36</v>
      </c>
      <c r="G19" s="16" t="n">
        <f aca="false">-G9*Assumptions!G16</f>
        <v>-5886.3</v>
      </c>
      <c r="H19" s="16" t="n">
        <f aca="false">-H9*Assumptions!H16</f>
        <v>-6834.464</v>
      </c>
      <c r="I19" s="16" t="n">
        <f aca="false">-I9*Assumptions!I16</f>
        <v>-7741.214</v>
      </c>
      <c r="J19" s="16" t="n">
        <f aca="false">-J9*Assumptions!J16</f>
        <v>-8883.45</v>
      </c>
    </row>
    <row r="20" customFormat="false" ht="15" hidden="false" customHeight="true" outlineLevel="0" collapsed="false">
      <c r="A20" s="6" t="s">
        <v>100</v>
      </c>
      <c r="B20" s="16" t="n">
        <f aca="false">-B9*Assumptions!B17</f>
        <v>-3665.79</v>
      </c>
      <c r="C20" s="16" t="n">
        <f aca="false">-C9*Assumptions!C17</f>
        <v>-4645.104</v>
      </c>
      <c r="D20" s="16" t="n">
        <f aca="false">-D9*Assumptions!D17</f>
        <v>-5202.7</v>
      </c>
      <c r="E20" s="16" t="n">
        <f aca="false">-E9*Assumptions!E17</f>
        <v>-5977.968</v>
      </c>
      <c r="F20" s="16" t="n">
        <f aca="false">-F9*Assumptions!F17</f>
        <v>-7163.58</v>
      </c>
      <c r="G20" s="16" t="n">
        <f aca="false">-G9*Assumptions!G17</f>
        <v>-8633.24</v>
      </c>
      <c r="H20" s="16" t="n">
        <f aca="false">-H9*Assumptions!H17</f>
        <v>-10251.696</v>
      </c>
      <c r="I20" s="16" t="n">
        <f aca="false">-I9*Assumptions!I17</f>
        <v>-11909.56</v>
      </c>
      <c r="J20" s="16" t="n">
        <f aca="false">-J9*Assumptions!J17</f>
        <v>-13502.844</v>
      </c>
    </row>
    <row r="21" customFormat="false" ht="15" hidden="false" customHeight="true" outlineLevel="0" collapsed="false">
      <c r="A21" s="4" t="s">
        <v>101</v>
      </c>
      <c r="B21" s="28" t="n">
        <f aca="false">SUM(B18:B20)</f>
        <v>-10997.37</v>
      </c>
      <c r="C21" s="28" t="n">
        <f aca="false">SUM(C18:C20)</f>
        <v>-12967.582</v>
      </c>
      <c r="D21" s="28" t="n">
        <f aca="false">SUM(D18:D20)</f>
        <v>-13735.128</v>
      </c>
      <c r="E21" s="28" t="n">
        <f aca="false">SUM(E18:E20)</f>
        <v>-15692.166</v>
      </c>
      <c r="F21" s="28" t="n">
        <f aca="false">SUM(F18:F20)</f>
        <v>-18687.6</v>
      </c>
      <c r="G21" s="28" t="n">
        <f aca="false">SUM(G18:G20)</f>
        <v>-22367.94</v>
      </c>
      <c r="H21" s="28" t="n">
        <f aca="false">SUM(H18:H20)</f>
        <v>-26361.504</v>
      </c>
      <c r="I21" s="28" t="n">
        <f aca="false">SUM(I18:I20)</f>
        <v>-30369.378</v>
      </c>
      <c r="J21" s="28" t="n">
        <f aca="false">SUM(J18:J20)</f>
        <v>-34823.124</v>
      </c>
    </row>
    <row r="22" customFormat="false" ht="15" hidden="false" customHeight="false" outlineLevel="0" collapsed="false"/>
    <row r="23" customFormat="false" ht="15" hidden="false" customHeight="true" outlineLevel="0" collapsed="false">
      <c r="A23" s="4" t="s">
        <v>102</v>
      </c>
      <c r="B23" s="26" t="n">
        <f aca="false">B14+B21</f>
        <v>9856.902</v>
      </c>
      <c r="C23" s="26" t="n">
        <f aca="false">C14+C21</f>
        <v>4741.877</v>
      </c>
      <c r="D23" s="26" t="n">
        <f aca="false">D14+D21</f>
        <v>4786.48399999999</v>
      </c>
      <c r="E23" s="26" t="n">
        <f aca="false">E14+E21</f>
        <v>6974.296</v>
      </c>
      <c r="F23" s="26" t="n">
        <f aca="false">F14+F21</f>
        <v>11679.75</v>
      </c>
      <c r="G23" s="26" t="n">
        <f aca="false">G14+G21</f>
        <v>18836.16</v>
      </c>
      <c r="H23" s="26" t="n">
        <f aca="false">H14+H21</f>
        <v>28558.296</v>
      </c>
      <c r="I23" s="26" t="n">
        <f aca="false">I14+I21</f>
        <v>39599.287</v>
      </c>
      <c r="J23" s="26" t="n">
        <f aca="false">J14+J21</f>
        <v>52234.686</v>
      </c>
    </row>
    <row r="24" customFormat="false" ht="15" hidden="false" customHeight="true" outlineLevel="0" collapsed="false">
      <c r="A24" s="11" t="s">
        <v>103</v>
      </c>
      <c r="B24" s="27" t="n">
        <f aca="false">IFERROR(B23/B9,0)</f>
        <v>0.121</v>
      </c>
      <c r="C24" s="27" t="n">
        <f aca="false">IFERROR(C23/C9,0)</f>
        <v>0.049</v>
      </c>
      <c r="D24" s="27" t="n">
        <f aca="false">IFERROR(D23/D9,0)</f>
        <v>0.0459999999999999</v>
      </c>
      <c r="E24" s="27" t="n">
        <f aca="false">IFERROR(E23/E9,0)</f>
        <v>0.056</v>
      </c>
      <c r="F24" s="27" t="n">
        <f aca="false">IFERROR(F23/F9,0)</f>
        <v>0.0750000000000001</v>
      </c>
      <c r="G24" s="27" t="n">
        <f aca="false">IFERROR(G23/G9,0)</f>
        <v>0.096</v>
      </c>
      <c r="H24" s="27" t="n">
        <f aca="false">IFERROR(H23/H9,0)</f>
        <v>0.117</v>
      </c>
      <c r="I24" s="27" t="n">
        <f aca="false">IFERROR(I23/I9,0)</f>
        <v>0.133</v>
      </c>
      <c r="J24" s="27" t="n">
        <f aca="false">IFERROR(J23/J9,0)</f>
        <v>0.147</v>
      </c>
    </row>
    <row r="25" customFormat="false" ht="15" hidden="false" customHeight="false" outlineLevel="0" collapsed="false"/>
    <row r="26" customFormat="false" ht="15" hidden="false" customHeight="true" outlineLevel="0" collapsed="false">
      <c r="A26" s="6" t="s">
        <v>104</v>
      </c>
      <c r="B26" s="17" t="n">
        <v>-300</v>
      </c>
      <c r="C26" s="17" t="n">
        <v>-300</v>
      </c>
      <c r="D26" s="17" t="n">
        <v>-300</v>
      </c>
      <c r="E26" s="17" t="n">
        <v>-300</v>
      </c>
      <c r="F26" s="17" t="n">
        <v>-300</v>
      </c>
      <c r="G26" s="17" t="n">
        <v>-300</v>
      </c>
      <c r="H26" s="17" t="n">
        <v>-300</v>
      </c>
      <c r="I26" s="17" t="n">
        <v>-300</v>
      </c>
      <c r="J26" s="17" t="n">
        <v>-300</v>
      </c>
    </row>
    <row r="27" customFormat="false" ht="15" hidden="false" customHeight="true" outlineLevel="0" collapsed="false">
      <c r="A27" s="4" t="s">
        <v>105</v>
      </c>
      <c r="B27" s="29" t="n">
        <f aca="false">B23+B26</f>
        <v>9556.902</v>
      </c>
      <c r="C27" s="29" t="n">
        <f aca="false">C23+C26</f>
        <v>4441.877</v>
      </c>
      <c r="D27" s="29" t="n">
        <f aca="false">D23+D26</f>
        <v>4486.48399999999</v>
      </c>
      <c r="E27" s="29" t="n">
        <f aca="false">E23+E26</f>
        <v>6674.296</v>
      </c>
      <c r="F27" s="29" t="n">
        <f aca="false">F23+F26</f>
        <v>11379.75</v>
      </c>
      <c r="G27" s="29" t="n">
        <f aca="false">G23+G26</f>
        <v>18536.16</v>
      </c>
      <c r="H27" s="29" t="n">
        <f aca="false">H23+H26</f>
        <v>28258.296</v>
      </c>
      <c r="I27" s="29" t="n">
        <f aca="false">I23+I26</f>
        <v>39299.287</v>
      </c>
      <c r="J27" s="29" t="n">
        <f aca="false">J23+J26</f>
        <v>51934.686</v>
      </c>
    </row>
    <row r="28" customFormat="false" ht="15" hidden="false" customHeight="true" outlineLevel="0" collapsed="false">
      <c r="A28" s="6" t="s">
        <v>106</v>
      </c>
      <c r="B28" s="16" t="n">
        <f aca="false">-ABS(B27)*Assumptions!B19</f>
        <v>-764.55216</v>
      </c>
      <c r="C28" s="16" t="n">
        <f aca="false">-ABS(C27)*Assumptions!C19</f>
        <v>-444.1877</v>
      </c>
      <c r="D28" s="16" t="n">
        <f aca="false">-ABS(D27)*Assumptions!D19</f>
        <v>-538.378079999999</v>
      </c>
      <c r="E28" s="16" t="n">
        <f aca="false">-ABS(E27)*Assumptions!E19</f>
        <v>-934.40144</v>
      </c>
      <c r="F28" s="16" t="n">
        <f aca="false">-ABS(F27)*Assumptions!F19</f>
        <v>-1706.9625</v>
      </c>
      <c r="G28" s="16" t="n">
        <f aca="false">-ABS(G27)*Assumptions!G19</f>
        <v>-2965.7856</v>
      </c>
      <c r="H28" s="16" t="n">
        <f aca="false">-ABS(H27)*Assumptions!H19</f>
        <v>-4803.91032</v>
      </c>
      <c r="I28" s="16" t="n">
        <f aca="false">-ABS(I27)*Assumptions!I19</f>
        <v>-7073.87166</v>
      </c>
      <c r="J28" s="16" t="n">
        <f aca="false">-ABS(J27)*Assumptions!J19</f>
        <v>-9348.24348</v>
      </c>
    </row>
    <row r="29" customFormat="false" ht="15" hidden="false" customHeight="false" outlineLevel="0" collapsed="false"/>
    <row r="30" customFormat="false" ht="15" hidden="false" customHeight="true" outlineLevel="0" collapsed="false">
      <c r="A30" s="30" t="s">
        <v>107</v>
      </c>
      <c r="B30" s="31" t="n">
        <f aca="false">B27+B28</f>
        <v>8792.34984</v>
      </c>
      <c r="C30" s="31" t="n">
        <f aca="false">C27+C28</f>
        <v>3997.6893</v>
      </c>
      <c r="D30" s="31" t="n">
        <f aca="false">D27+D28</f>
        <v>3948.10591999999</v>
      </c>
      <c r="E30" s="31" t="n">
        <f aca="false">E27+E28</f>
        <v>5739.89456</v>
      </c>
      <c r="F30" s="31" t="n">
        <f aca="false">F27+F28</f>
        <v>9672.78750000001</v>
      </c>
      <c r="G30" s="31" t="n">
        <f aca="false">G27+G28</f>
        <v>15570.3744</v>
      </c>
      <c r="H30" s="31" t="n">
        <f aca="false">H27+H28</f>
        <v>23454.38568</v>
      </c>
      <c r="I30" s="31" t="n">
        <f aca="false">I27+I28</f>
        <v>32225.41534</v>
      </c>
      <c r="J30" s="31" t="n">
        <f aca="false">J27+J28</f>
        <v>42586.44252</v>
      </c>
    </row>
    <row r="31" customFormat="false" ht="15" hidden="false" customHeight="true" outlineLevel="0" collapsed="false">
      <c r="A31" s="6" t="s">
        <v>108</v>
      </c>
      <c r="B31" s="32" t="n">
        <f aca="false">IFERROR(B30/Assumptions!B25,0)</f>
        <v>2.53017261582734</v>
      </c>
      <c r="C31" s="32" t="n">
        <f aca="false">IFERROR(C30/Assumptions!C24,0)</f>
        <v>133256.31</v>
      </c>
      <c r="D31" s="32" t="n">
        <f aca="false">IFERROR(D30/Assumptions!D24,0)</f>
        <v>131603.530666666</v>
      </c>
      <c r="E31" s="32" t="n">
        <f aca="false">IFERROR(E30/Assumptions!E24,0)</f>
        <v>191329.818666667</v>
      </c>
      <c r="F31" s="32" t="n">
        <f aca="false">IFERROR(F30/Assumptions!F24,0)</f>
        <v>322426.25</v>
      </c>
      <c r="G31" s="32" t="n">
        <f aca="false">IFERROR(G30/Assumptions!G24,0)</f>
        <v>519012.48</v>
      </c>
      <c r="H31" s="32" t="n">
        <f aca="false">IFERROR(H30/Assumptions!H24,0)</f>
        <v>781812.856</v>
      </c>
      <c r="I31" s="32" t="n">
        <f aca="false">IFERROR(I30/Assumptions!I24,0)</f>
        <v>1074180.51133333</v>
      </c>
      <c r="J31" s="32" t="n">
        <f aca="false">IFERROR(J30/Assumptions!J24,0)</f>
        <v>1419548.084</v>
      </c>
    </row>
    <row r="32" customFormat="false" ht="15" hidden="false" customHeight="false" outlineLevel="0" collapsed="false"/>
    <row r="33" customFormat="false" ht="15" hidden="false" customHeight="true" outlineLevel="0" collapsed="false">
      <c r="A33" s="4" t="s">
        <v>109</v>
      </c>
      <c r="B33" s="26" t="n">
        <f aca="false">B23-B20</f>
        <v>13522.692</v>
      </c>
      <c r="C33" s="26" t="n">
        <f aca="false">C23-C20</f>
        <v>9386.981</v>
      </c>
      <c r="D33" s="26" t="n">
        <f aca="false">D23-D20</f>
        <v>9989.18399999999</v>
      </c>
      <c r="E33" s="26" t="n">
        <f aca="false">E23-E20</f>
        <v>12952.264</v>
      </c>
      <c r="F33" s="26" t="n">
        <f aca="false">F23-F20</f>
        <v>18843.33</v>
      </c>
      <c r="G33" s="26" t="n">
        <f aca="false">G23-G20</f>
        <v>27469.4</v>
      </c>
      <c r="H33" s="26" t="n">
        <f aca="false">H23-H20</f>
        <v>38809.992</v>
      </c>
      <c r="I33" s="26" t="n">
        <f aca="false">I23-I20</f>
        <v>51508.847</v>
      </c>
      <c r="J33" s="26" t="n">
        <f aca="false">J23-J20</f>
        <v>65737.53</v>
      </c>
    </row>
    <row r="34" customFormat="false" ht="15" hidden="false" customHeight="true" outlineLevel="0" collapsed="false">
      <c r="A34" s="11" t="s">
        <v>110</v>
      </c>
      <c r="B34" s="27" t="n">
        <f aca="false">IFERROR(B33/B9,0)</f>
        <v>0.166</v>
      </c>
      <c r="C34" s="27" t="n">
        <f aca="false">IFERROR(C33/C9,0)</f>
        <v>0.097</v>
      </c>
      <c r="D34" s="27" t="n">
        <f aca="false">IFERROR(D33/D9,0)</f>
        <v>0.096</v>
      </c>
      <c r="E34" s="27" t="n">
        <f aca="false">IFERROR(E33/E9,0)</f>
        <v>0.104</v>
      </c>
      <c r="F34" s="27" t="n">
        <f aca="false">IFERROR(F33/F9,0)</f>
        <v>0.121</v>
      </c>
      <c r="G34" s="27" t="n">
        <f aca="false">IFERROR(G33/G9,0)</f>
        <v>0.14</v>
      </c>
      <c r="H34" s="27" t="n">
        <f aca="false">IFERROR(H33/H9,0)</f>
        <v>0.159</v>
      </c>
      <c r="I34" s="27" t="n">
        <f aca="false">IFERROR(I33/I9,0)</f>
        <v>0.173</v>
      </c>
      <c r="J34" s="27" t="n">
        <f aca="false">IFERROR(J33/J9,0)</f>
        <v>0.185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111</v>
      </c>
    </row>
    <row r="2" customFormat="false" ht="15" hidden="false" customHeight="true" outlineLevel="0" collapsed="false">
      <c r="A2" s="11" t="s">
        <v>112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113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114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115</v>
      </c>
      <c r="B6" s="16" t="n">
        <v>16253</v>
      </c>
      <c r="C6" s="16" t="n">
        <v>16398</v>
      </c>
      <c r="D6" s="16" t="n">
        <v>33648</v>
      </c>
      <c r="E6" s="33" t="n">
        <v>36600</v>
      </c>
      <c r="F6" s="33" t="n">
        <v>42000</v>
      </c>
      <c r="G6" s="33" t="n">
        <v>50000</v>
      </c>
      <c r="H6" s="33" t="n">
        <v>60000</v>
      </c>
      <c r="I6" s="33" t="n">
        <v>72000</v>
      </c>
      <c r="J6" s="33" t="n">
        <v>86000</v>
      </c>
    </row>
    <row r="7" customFormat="false" ht="15" hidden="false" customHeight="true" outlineLevel="0" collapsed="false">
      <c r="A7" s="6" t="s">
        <v>116</v>
      </c>
      <c r="B7" s="16" t="n">
        <v>5932</v>
      </c>
      <c r="C7" s="16" t="n">
        <v>12696</v>
      </c>
      <c r="D7" s="16" t="n">
        <v>0</v>
      </c>
      <c r="E7" s="33" t="n">
        <v>0</v>
      </c>
      <c r="F7" s="33" t="n">
        <v>0</v>
      </c>
      <c r="G7" s="33" t="n">
        <v>0</v>
      </c>
      <c r="H7" s="33" t="n">
        <v>0</v>
      </c>
      <c r="I7" s="33" t="n">
        <v>0</v>
      </c>
      <c r="J7" s="33" t="n">
        <v>0</v>
      </c>
    </row>
    <row r="8" customFormat="false" ht="15" hidden="false" customHeight="true" outlineLevel="0" collapsed="false">
      <c r="A8" s="6" t="s">
        <v>117</v>
      </c>
      <c r="B8" s="16" t="n">
        <v>2952</v>
      </c>
      <c r="C8" s="16" t="n">
        <v>3508</v>
      </c>
      <c r="D8" s="16" t="n">
        <v>4140</v>
      </c>
      <c r="E8" s="33" t="n">
        <v>4700</v>
      </c>
      <c r="F8" s="33" t="n">
        <v>5500</v>
      </c>
      <c r="G8" s="33" t="n">
        <v>6500</v>
      </c>
      <c r="H8" s="33" t="n">
        <v>7600</v>
      </c>
      <c r="I8" s="33" t="n">
        <v>8800</v>
      </c>
      <c r="J8" s="33" t="n">
        <v>10000</v>
      </c>
    </row>
    <row r="9" customFormat="false" ht="15" hidden="false" customHeight="true" outlineLevel="0" collapsed="false">
      <c r="A9" s="6" t="s">
        <v>118</v>
      </c>
      <c r="B9" s="16" t="n">
        <v>12839</v>
      </c>
      <c r="C9" s="16" t="n">
        <v>13626</v>
      </c>
      <c r="D9" s="16" t="n">
        <v>14000</v>
      </c>
      <c r="E9" s="33" t="n">
        <v>15200</v>
      </c>
      <c r="F9" s="33" t="n">
        <v>17500</v>
      </c>
      <c r="G9" s="33" t="n">
        <v>20000</v>
      </c>
      <c r="H9" s="33" t="n">
        <v>23000</v>
      </c>
      <c r="I9" s="33" t="n">
        <v>26000</v>
      </c>
      <c r="J9" s="33" t="n">
        <v>29000</v>
      </c>
    </row>
    <row r="10" customFormat="false" ht="15" hidden="false" customHeight="true" outlineLevel="0" collapsed="false">
      <c r="A10" s="6" t="s">
        <v>119</v>
      </c>
      <c r="B10" s="16" t="n">
        <v>2941</v>
      </c>
      <c r="C10" s="16" t="n">
        <v>3388</v>
      </c>
      <c r="D10" s="16" t="n">
        <v>3800</v>
      </c>
      <c r="E10" s="33" t="n">
        <v>4200</v>
      </c>
      <c r="F10" s="33" t="n">
        <v>4800</v>
      </c>
      <c r="G10" s="33" t="n">
        <v>5500</v>
      </c>
      <c r="H10" s="33" t="n">
        <v>6200</v>
      </c>
      <c r="I10" s="33" t="n">
        <v>7000</v>
      </c>
      <c r="J10" s="33" t="n">
        <v>7800</v>
      </c>
    </row>
    <row r="11" customFormat="false" ht="15" hidden="false" customHeight="true" outlineLevel="0" collapsed="false">
      <c r="A11" s="4" t="s">
        <v>120</v>
      </c>
      <c r="B11" s="28" t="n">
        <f aca="false">SUM(B6:B10)</f>
        <v>40917</v>
      </c>
      <c r="C11" s="28" t="n">
        <f aca="false">SUM(C6:C10)</f>
        <v>49616</v>
      </c>
      <c r="D11" s="28" t="n">
        <f aca="false">SUM(D6:D10)</f>
        <v>55588</v>
      </c>
      <c r="E11" s="28" t="n">
        <f aca="false">SUM(E6:E10)</f>
        <v>60700</v>
      </c>
      <c r="F11" s="28" t="n">
        <f aca="false">SUM(F6:F10)</f>
        <v>69800</v>
      </c>
      <c r="G11" s="28" t="n">
        <f aca="false">SUM(G6:G10)</f>
        <v>82000</v>
      </c>
      <c r="H11" s="28" t="n">
        <f aca="false">SUM(H6:H10)</f>
        <v>96800</v>
      </c>
      <c r="I11" s="28" t="n">
        <f aca="false">SUM(I6:I10)</f>
        <v>113800</v>
      </c>
      <c r="J11" s="28" t="n">
        <f aca="false">SUM(J6:J10)</f>
        <v>132800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13" t="s">
        <v>121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122</v>
      </c>
      <c r="B14" s="16" t="n">
        <v>36635</v>
      </c>
      <c r="C14" s="16" t="n">
        <v>29725</v>
      </c>
      <c r="D14" s="16" t="n">
        <v>32000</v>
      </c>
      <c r="E14" s="33" t="n">
        <v>35000</v>
      </c>
      <c r="F14" s="33" t="n">
        <v>39000</v>
      </c>
      <c r="G14" s="33" t="n">
        <v>43000</v>
      </c>
      <c r="H14" s="33" t="n">
        <v>47000</v>
      </c>
      <c r="I14" s="33" t="n">
        <v>51000</v>
      </c>
      <c r="J14" s="33" t="n">
        <v>55000</v>
      </c>
    </row>
    <row r="15" customFormat="false" ht="15" hidden="false" customHeight="true" outlineLevel="0" collapsed="false">
      <c r="A15" s="6" t="s">
        <v>123</v>
      </c>
      <c r="B15" s="16" t="n">
        <v>1860</v>
      </c>
      <c r="C15" s="16" t="n">
        <v>394</v>
      </c>
      <c r="D15" s="16" t="n">
        <v>400</v>
      </c>
      <c r="E15" s="33" t="n">
        <v>400</v>
      </c>
      <c r="F15" s="33" t="n">
        <v>400</v>
      </c>
      <c r="G15" s="33" t="n">
        <v>400</v>
      </c>
      <c r="H15" s="33" t="n">
        <v>400</v>
      </c>
      <c r="I15" s="33" t="n">
        <v>400</v>
      </c>
      <c r="J15" s="33" t="n">
        <v>400</v>
      </c>
    </row>
    <row r="16" customFormat="false" ht="15" hidden="false" customHeight="true" outlineLevel="0" collapsed="false">
      <c r="A16" s="6" t="s">
        <v>124</v>
      </c>
      <c r="B16" s="16" t="n">
        <v>5000</v>
      </c>
      <c r="C16" s="16" t="n">
        <v>6200</v>
      </c>
      <c r="D16" s="16" t="n">
        <v>7000</v>
      </c>
      <c r="E16" s="33" t="n">
        <v>7500</v>
      </c>
      <c r="F16" s="33" t="n">
        <v>8000</v>
      </c>
      <c r="G16" s="33" t="n">
        <v>8500</v>
      </c>
      <c r="H16" s="33" t="n">
        <v>9000</v>
      </c>
      <c r="I16" s="33" t="n">
        <v>9500</v>
      </c>
      <c r="J16" s="33" t="n">
        <v>10000</v>
      </c>
    </row>
    <row r="17" customFormat="false" ht="15" hidden="false" customHeight="false" outlineLevel="0" collapsed="false"/>
    <row r="18" customFormat="false" ht="15" hidden="false" customHeight="true" outlineLevel="0" collapsed="false">
      <c r="A18" s="30" t="s">
        <v>125</v>
      </c>
      <c r="B18" s="31" t="n">
        <f aca="false">B11+SUM(B14:B16)</f>
        <v>84412</v>
      </c>
      <c r="C18" s="31" t="n">
        <f aca="false">C11+SUM(C14:C16)</f>
        <v>85935</v>
      </c>
      <c r="D18" s="31" t="n">
        <f aca="false">D11+SUM(D14:D16)</f>
        <v>94988</v>
      </c>
      <c r="E18" s="31" t="n">
        <f aca="false">E11+SUM(E14:E16)</f>
        <v>103600</v>
      </c>
      <c r="F18" s="31" t="n">
        <f aca="false">F11+SUM(F14:F16)</f>
        <v>117200</v>
      </c>
      <c r="G18" s="31" t="n">
        <f aca="false">G11+SUM(G14:G16)</f>
        <v>133900</v>
      </c>
      <c r="H18" s="31" t="n">
        <f aca="false">H11+SUM(H14:H16)</f>
        <v>153200</v>
      </c>
      <c r="I18" s="31" t="n">
        <f aca="false">I11+SUM(I14:I16)</f>
        <v>174700</v>
      </c>
      <c r="J18" s="31" t="n">
        <f aca="false">J11+SUM(J14:J16)</f>
        <v>198200</v>
      </c>
    </row>
    <row r="19" customFormat="false" ht="15" hidden="false" customHeight="false" outlineLevel="0" collapsed="false"/>
    <row r="20" customFormat="false" ht="15" hidden="false" customHeight="true" outlineLevel="0" collapsed="false">
      <c r="A20" s="13" t="s">
        <v>126</v>
      </c>
      <c r="B20" s="14"/>
      <c r="C20" s="14"/>
      <c r="D20" s="14"/>
      <c r="E20" s="14"/>
      <c r="F20" s="14"/>
      <c r="G20" s="14"/>
      <c r="H20" s="14"/>
      <c r="I20" s="14"/>
      <c r="J20" s="14"/>
    </row>
    <row r="21" customFormat="false" ht="15" hidden="false" customHeight="true" outlineLevel="0" collapsed="false">
      <c r="A21" s="6" t="s">
        <v>127</v>
      </c>
      <c r="B21" s="16" t="n">
        <v>15255</v>
      </c>
      <c r="C21" s="16" t="n">
        <v>14431</v>
      </c>
      <c r="D21" s="16" t="n">
        <v>15000</v>
      </c>
      <c r="E21" s="17" t="n">
        <v>16500</v>
      </c>
      <c r="F21" s="17" t="n">
        <v>19000</v>
      </c>
      <c r="G21" s="17" t="n">
        <v>22000</v>
      </c>
      <c r="H21" s="17" t="n">
        <v>25000</v>
      </c>
      <c r="I21" s="17" t="n">
        <v>28000</v>
      </c>
      <c r="J21" s="17" t="n">
        <v>31000</v>
      </c>
    </row>
    <row r="22" customFormat="false" ht="15" hidden="false" customHeight="true" outlineLevel="0" collapsed="false">
      <c r="A22" s="6" t="s">
        <v>128</v>
      </c>
      <c r="B22" s="16" t="n">
        <v>7142</v>
      </c>
      <c r="C22" s="16" t="n">
        <v>9080</v>
      </c>
      <c r="D22" s="16" t="n">
        <v>9500</v>
      </c>
      <c r="E22" s="17" t="n">
        <v>10500</v>
      </c>
      <c r="F22" s="17" t="n">
        <v>12000</v>
      </c>
      <c r="G22" s="17" t="n">
        <v>14000</v>
      </c>
      <c r="H22" s="17" t="n">
        <v>16000</v>
      </c>
      <c r="I22" s="17" t="n">
        <v>18000</v>
      </c>
      <c r="J22" s="17" t="n">
        <v>20000</v>
      </c>
    </row>
    <row r="23" customFormat="false" ht="15" hidden="false" customHeight="true" outlineLevel="0" collapsed="false">
      <c r="A23" s="6" t="s">
        <v>129</v>
      </c>
      <c r="B23" s="16" t="n">
        <v>1502</v>
      </c>
      <c r="C23" s="16" t="n">
        <v>2373</v>
      </c>
      <c r="D23" s="16" t="n">
        <v>2500</v>
      </c>
      <c r="E23" s="17" t="n">
        <v>2500</v>
      </c>
      <c r="F23" s="17" t="n">
        <v>2500</v>
      </c>
      <c r="G23" s="17" t="n">
        <v>2500</v>
      </c>
      <c r="H23" s="17" t="n">
        <v>2500</v>
      </c>
      <c r="I23" s="17" t="n">
        <v>2500</v>
      </c>
      <c r="J23" s="17" t="n">
        <v>2500</v>
      </c>
    </row>
    <row r="24" customFormat="false" ht="15" hidden="false" customHeight="true" outlineLevel="0" collapsed="false">
      <c r="A24" s="4" t="s">
        <v>130</v>
      </c>
      <c r="B24" s="28" t="n">
        <f aca="false">SUM(B21:B23)</f>
        <v>23899</v>
      </c>
      <c r="C24" s="28" t="n">
        <f aca="false">SUM(C21:C23)</f>
        <v>25884</v>
      </c>
      <c r="D24" s="28" t="n">
        <f aca="false">SUM(D21:D23)</f>
        <v>27000</v>
      </c>
      <c r="E24" s="28" t="n">
        <f aca="false">SUM(E21:E23)</f>
        <v>29500</v>
      </c>
      <c r="F24" s="28" t="n">
        <f aca="false">SUM(F21:F23)</f>
        <v>33500</v>
      </c>
      <c r="G24" s="28" t="n">
        <f aca="false">SUM(G21:G23)</f>
        <v>38500</v>
      </c>
      <c r="H24" s="28" t="n">
        <f aca="false">SUM(H21:H23)</f>
        <v>43500</v>
      </c>
      <c r="I24" s="28" t="n">
        <f aca="false">SUM(I21:I23)</f>
        <v>48500</v>
      </c>
      <c r="J24" s="28" t="n">
        <f aca="false">SUM(J21:J23)</f>
        <v>53500</v>
      </c>
    </row>
    <row r="25" customFormat="false" ht="15" hidden="false" customHeight="false" outlineLevel="0" collapsed="false"/>
    <row r="26" customFormat="false" ht="15" hidden="false" customHeight="true" outlineLevel="0" collapsed="false">
      <c r="A26" s="13" t="s">
        <v>131</v>
      </c>
      <c r="B26" s="14"/>
      <c r="C26" s="14"/>
      <c r="D26" s="14"/>
      <c r="E26" s="14"/>
      <c r="F26" s="14"/>
      <c r="G26" s="14"/>
      <c r="H26" s="14"/>
      <c r="I26" s="14"/>
      <c r="J26" s="14"/>
    </row>
    <row r="27" customFormat="false" ht="15" hidden="false" customHeight="true" outlineLevel="0" collapsed="false">
      <c r="A27" s="6" t="s">
        <v>132</v>
      </c>
      <c r="B27" s="17" t="n">
        <v>3300</v>
      </c>
      <c r="C27" s="17" t="n">
        <v>3300</v>
      </c>
      <c r="D27" s="17" t="n">
        <v>3300</v>
      </c>
      <c r="E27" s="17" t="n">
        <v>3300</v>
      </c>
      <c r="F27" s="17" t="n">
        <v>3300</v>
      </c>
      <c r="G27" s="17" t="n">
        <v>3300</v>
      </c>
      <c r="H27" s="17" t="n">
        <v>3300</v>
      </c>
      <c r="I27" s="17" t="n">
        <v>3300</v>
      </c>
      <c r="J27" s="17" t="n">
        <v>3300</v>
      </c>
    </row>
    <row r="28" customFormat="false" ht="15" hidden="false" customHeight="true" outlineLevel="0" collapsed="false">
      <c r="A28" s="6" t="s">
        <v>133</v>
      </c>
      <c r="B28" s="17" t="n">
        <v>8000</v>
      </c>
      <c r="C28" s="17" t="n">
        <v>8000</v>
      </c>
      <c r="D28" s="17" t="n">
        <v>8000</v>
      </c>
      <c r="E28" s="17" t="n">
        <v>8000</v>
      </c>
      <c r="F28" s="17" t="n">
        <v>8000</v>
      </c>
      <c r="G28" s="17" t="n">
        <v>8000</v>
      </c>
      <c r="H28" s="17" t="n">
        <v>8000</v>
      </c>
      <c r="I28" s="17" t="n">
        <v>8000</v>
      </c>
      <c r="J28" s="17" t="n">
        <v>8000</v>
      </c>
    </row>
    <row r="29" customFormat="false" ht="15" hidden="false" customHeight="false" outlineLevel="0" collapsed="false"/>
    <row r="30" customFormat="false" ht="15" hidden="false" customHeight="true" outlineLevel="0" collapsed="false">
      <c r="A30" s="30" t="s">
        <v>134</v>
      </c>
      <c r="B30" s="31" t="n">
        <f aca="false">B24+B27+B28</f>
        <v>35199</v>
      </c>
      <c r="C30" s="31" t="n">
        <f aca="false">C24+C27+C28</f>
        <v>37184</v>
      </c>
      <c r="D30" s="31" t="n">
        <f aca="false">D24+D27+D28</f>
        <v>38300</v>
      </c>
      <c r="E30" s="31" t="n">
        <f aca="false">E24+E27+E28</f>
        <v>40800</v>
      </c>
      <c r="F30" s="31" t="n">
        <f aca="false">F24+F27+F28</f>
        <v>44800</v>
      </c>
      <c r="G30" s="31" t="n">
        <f aca="false">G24+G27+G28</f>
        <v>49800</v>
      </c>
      <c r="H30" s="31" t="n">
        <f aca="false">H24+H27+H28</f>
        <v>54800</v>
      </c>
      <c r="I30" s="31" t="n">
        <f aca="false">I24+I27+I28</f>
        <v>59800</v>
      </c>
      <c r="J30" s="31" t="n">
        <f aca="false">J24+J27+J28</f>
        <v>64800</v>
      </c>
    </row>
    <row r="31" customFormat="false" ht="15" hidden="false" customHeight="false" outlineLevel="0" collapsed="false"/>
    <row r="32" customFormat="false" ht="15" hidden="false" customHeight="true" outlineLevel="0" collapsed="false">
      <c r="A32" s="13" t="s">
        <v>135</v>
      </c>
      <c r="B32" s="14"/>
      <c r="C32" s="14"/>
      <c r="D32" s="14"/>
      <c r="E32" s="14"/>
      <c r="F32" s="14"/>
      <c r="G32" s="14"/>
      <c r="H32" s="14"/>
      <c r="I32" s="14"/>
      <c r="J32" s="14"/>
    </row>
    <row r="33" customFormat="false" ht="15" hidden="false" customHeight="true" outlineLevel="0" collapsed="false">
      <c r="A33" s="4" t="s">
        <v>136</v>
      </c>
      <c r="B33" s="26" t="n">
        <f aca="false">B18-B30</f>
        <v>49213</v>
      </c>
      <c r="C33" s="26" t="n">
        <f aca="false">C18-C30</f>
        <v>48751</v>
      </c>
      <c r="D33" s="26" t="n">
        <f aca="false">D18-D30</f>
        <v>56688</v>
      </c>
      <c r="E33" s="26" t="n">
        <f aca="false">E18-E30</f>
        <v>62800</v>
      </c>
      <c r="F33" s="26" t="n">
        <f aca="false">F18-F30</f>
        <v>72400</v>
      </c>
      <c r="G33" s="26" t="n">
        <f aca="false">G18-G30</f>
        <v>84100</v>
      </c>
      <c r="H33" s="26" t="n">
        <f aca="false">H18-H30</f>
        <v>98400</v>
      </c>
      <c r="I33" s="26" t="n">
        <f aca="false">I18-I30</f>
        <v>114900</v>
      </c>
      <c r="J33" s="26" t="n">
        <f aca="false">J18-J30</f>
        <v>133400</v>
      </c>
    </row>
    <row r="34" customFormat="false" ht="15" hidden="false" customHeight="false" outlineLevel="0" collapsed="false"/>
    <row r="35" customFormat="false" ht="15" hidden="false" customHeight="true" outlineLevel="0" collapsed="false">
      <c r="A35" s="34" t="s">
        <v>137</v>
      </c>
      <c r="B35" s="35" t="n">
        <f aca="false">B18-B30-B33</f>
        <v>0</v>
      </c>
      <c r="C35" s="35" t="n">
        <f aca="false">C18-C30-C33</f>
        <v>0</v>
      </c>
      <c r="D35" s="35" t="n">
        <f aca="false">D18-D30-D33</f>
        <v>0</v>
      </c>
      <c r="E35" s="35" t="n">
        <f aca="false">E18-E30-E33</f>
        <v>0</v>
      </c>
      <c r="F35" s="35" t="n">
        <f aca="false">F18-F30-F33</f>
        <v>0</v>
      </c>
      <c r="G35" s="35" t="n">
        <f aca="false">G18-G30-G33</f>
        <v>0</v>
      </c>
      <c r="H35" s="35" t="n">
        <f aca="false">H18-H30-H33</f>
        <v>0</v>
      </c>
      <c r="I35" s="35" t="n">
        <f aca="false">I18-I30-I33</f>
        <v>0</v>
      </c>
      <c r="J35" s="35" t="n">
        <f aca="false">J18-J30-J33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138</v>
      </c>
    </row>
    <row r="2" customFormat="false" ht="15" hidden="false" customHeight="true" outlineLevel="0" collapsed="false">
      <c r="A2" s="11" t="s">
        <v>112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139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140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141</v>
      </c>
      <c r="B6" s="25" t="n">
        <f aca="false">'Income Statement'!B30</f>
        <v>8792.34984</v>
      </c>
      <c r="C6" s="25" t="n">
        <f aca="false">'Income Statement'!C30</f>
        <v>3997.6893</v>
      </c>
      <c r="D6" s="25" t="n">
        <f aca="false">'Income Statement'!D30</f>
        <v>3948.10591999999</v>
      </c>
      <c r="E6" s="25" t="n">
        <f aca="false">'Income Statement'!E30</f>
        <v>5739.89456</v>
      </c>
      <c r="F6" s="25" t="n">
        <f aca="false">'Income Statement'!F30</f>
        <v>9672.78750000001</v>
      </c>
      <c r="G6" s="25" t="n">
        <f aca="false">'Income Statement'!G30</f>
        <v>15570.3744</v>
      </c>
      <c r="H6" s="25" t="n">
        <f aca="false">'Income Statement'!H30</f>
        <v>23454.38568</v>
      </c>
      <c r="I6" s="25" t="n">
        <f aca="false">'Income Statement'!I30</f>
        <v>32225.41534</v>
      </c>
      <c r="J6" s="25" t="n">
        <f aca="false">'Income Statement'!J30</f>
        <v>42586.44252</v>
      </c>
    </row>
    <row r="7" customFormat="false" ht="15" hidden="false" customHeight="true" outlineLevel="0" collapsed="false">
      <c r="A7" s="6" t="s">
        <v>142</v>
      </c>
      <c r="B7" s="25" t="n">
        <f aca="false">-'Income Statement'!B20</f>
        <v>3665.79</v>
      </c>
      <c r="C7" s="25" t="n">
        <f aca="false">-'Income Statement'!C20</f>
        <v>4645.104</v>
      </c>
      <c r="D7" s="25" t="n">
        <f aca="false">-'Income Statement'!D20</f>
        <v>5202.7</v>
      </c>
      <c r="E7" s="25" t="n">
        <f aca="false">-'Income Statement'!E20</f>
        <v>5977.968</v>
      </c>
      <c r="F7" s="25" t="n">
        <f aca="false">-'Income Statement'!F20</f>
        <v>7163.58</v>
      </c>
      <c r="G7" s="25" t="n">
        <f aca="false">-'Income Statement'!G20</f>
        <v>8633.24</v>
      </c>
      <c r="H7" s="25" t="n">
        <f aca="false">-'Income Statement'!H20</f>
        <v>10251.696</v>
      </c>
      <c r="I7" s="25" t="n">
        <f aca="false">-'Income Statement'!I20</f>
        <v>11909.56</v>
      </c>
      <c r="J7" s="25" t="n">
        <f aca="false">-'Income Statement'!J20</f>
        <v>13502.844</v>
      </c>
    </row>
    <row r="8" customFormat="false" ht="15" hidden="false" customHeight="true" outlineLevel="0" collapsed="false">
      <c r="A8" s="6" t="s">
        <v>143</v>
      </c>
      <c r="B8" s="17" t="n">
        <v>1560</v>
      </c>
      <c r="C8" s="17" t="n">
        <v>1794</v>
      </c>
      <c r="D8" s="17" t="n">
        <v>2000</v>
      </c>
      <c r="E8" s="17" t="n">
        <v>2200</v>
      </c>
      <c r="F8" s="17" t="n">
        <v>2500</v>
      </c>
      <c r="G8" s="17" t="n">
        <v>2800</v>
      </c>
      <c r="H8" s="17" t="n">
        <v>3100</v>
      </c>
      <c r="I8" s="17" t="n">
        <v>3400</v>
      </c>
      <c r="J8" s="17" t="n">
        <v>3700</v>
      </c>
    </row>
    <row r="9" customFormat="false" ht="15" hidden="false" customHeight="true" outlineLevel="0" collapsed="false">
      <c r="A9" s="6" t="s">
        <v>144</v>
      </c>
      <c r="C9" s="16" t="n">
        <f aca="false">-('Income Statement'!C9-'Income Statement'!B9)*Assumptions!C23</f>
        <v>-1148.325</v>
      </c>
      <c r="D9" s="16" t="n">
        <f aca="false">-('Income Statement'!D9-'Income Statement'!C9)*Assumptions!D23</f>
        <v>-618.885</v>
      </c>
      <c r="E9" s="16" t="n">
        <f aca="false">-('Income Statement'!E9-'Income Statement'!D9)*Assumptions!E23</f>
        <v>-1638.96</v>
      </c>
      <c r="F9" s="16" t="n">
        <f aca="false">-('Income Statement'!F9-'Income Statement'!E9)*Assumptions!F23</f>
        <v>-2339.175</v>
      </c>
      <c r="G9" s="16" t="n">
        <f aca="false">-('Income Statement'!G9-'Income Statement'!F9)*Assumptions!G23</f>
        <v>-2833.6</v>
      </c>
      <c r="H9" s="16" t="n">
        <f aca="false">-('Income Statement'!H9-'Income Statement'!G9)*Assumptions!H23</f>
        <v>-3112.07</v>
      </c>
      <c r="I9" s="16" t="n">
        <f aca="false">-('Income Statement'!I9-'Income Statement'!H9)*Assumptions!I23</f>
        <v>-3219.06</v>
      </c>
      <c r="J9" s="16" t="n">
        <f aca="false">-('Income Statement'!J9-'Income Statement'!I9)*Assumptions!J23</f>
        <v>-3167.945</v>
      </c>
    </row>
    <row r="10" customFormat="false" ht="15" hidden="false" customHeight="false" outlineLevel="0" collapsed="false"/>
    <row r="11" customFormat="false" ht="15" hidden="false" customHeight="true" outlineLevel="0" collapsed="false">
      <c r="A11" s="4" t="s">
        <v>145</v>
      </c>
      <c r="B11" s="26" t="n">
        <f aca="false">SUM(B6:B9)</f>
        <v>14018.13984</v>
      </c>
      <c r="C11" s="26" t="n">
        <f aca="false">SUM(C6:C9)</f>
        <v>9288.4683</v>
      </c>
      <c r="D11" s="26" t="n">
        <f aca="false">SUM(D6:D9)</f>
        <v>10531.92092</v>
      </c>
      <c r="E11" s="26" t="n">
        <f aca="false">SUM(E6:E9)</f>
        <v>12278.90256</v>
      </c>
      <c r="F11" s="26" t="n">
        <f aca="false">SUM(F6:F9)</f>
        <v>16997.1925</v>
      </c>
      <c r="G11" s="26" t="n">
        <f aca="false">SUM(G6:G9)</f>
        <v>24170.0144</v>
      </c>
      <c r="H11" s="26" t="n">
        <f aca="false">SUM(H6:H9)</f>
        <v>33694.01168</v>
      </c>
      <c r="I11" s="26" t="n">
        <f aca="false">SUM(I6:I9)</f>
        <v>44315.91534</v>
      </c>
      <c r="J11" s="26" t="n">
        <f aca="false">SUM(J6:J9)</f>
        <v>56621.34152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13" t="s">
        <v>146</v>
      </c>
      <c r="B13" s="14"/>
      <c r="C13" s="14"/>
      <c r="D13" s="14"/>
      <c r="E13" s="14"/>
      <c r="F13" s="14"/>
      <c r="G13" s="14"/>
      <c r="H13" s="14"/>
      <c r="I13" s="14"/>
      <c r="J13" s="14"/>
    </row>
    <row r="14" customFormat="false" ht="15" hidden="false" customHeight="true" outlineLevel="0" collapsed="false">
      <c r="A14" s="6" t="s">
        <v>147</v>
      </c>
      <c r="B14" s="16" t="n">
        <f aca="false">-'Income Statement'!B9*Assumptions!B22</f>
        <v>-0</v>
      </c>
      <c r="C14" s="16" t="n">
        <f aca="false">-'Income Statement'!C9*Assumptions!C22</f>
        <v>-0</v>
      </c>
      <c r="D14" s="16" t="n">
        <f aca="false">-'Income Statement'!D9*Assumptions!D22</f>
        <v>-0</v>
      </c>
      <c r="E14" s="16" t="n">
        <f aca="false">-'Income Statement'!E9*Assumptions!E22</f>
        <v>-0</v>
      </c>
      <c r="F14" s="16" t="n">
        <f aca="false">-'Income Statement'!F9*Assumptions!F22</f>
        <v>-0</v>
      </c>
      <c r="G14" s="16" t="n">
        <f aca="false">-'Income Statement'!G9*Assumptions!G22</f>
        <v>-0</v>
      </c>
      <c r="H14" s="16" t="n">
        <f aca="false">-'Income Statement'!H9*Assumptions!H22</f>
        <v>-0</v>
      </c>
      <c r="I14" s="16" t="n">
        <f aca="false">-'Income Statement'!I9*Assumptions!I22</f>
        <v>-0</v>
      </c>
      <c r="J14" s="16" t="n">
        <f aca="false">-'Income Statement'!J9*Assumptions!J22</f>
        <v>-0</v>
      </c>
    </row>
    <row r="15" customFormat="false" ht="15" hidden="false" customHeight="true" outlineLevel="0" collapsed="false">
      <c r="A15" s="6" t="s">
        <v>148</v>
      </c>
      <c r="B15" s="17" t="n">
        <v>-500</v>
      </c>
      <c r="C15" s="17" t="n">
        <v>-500</v>
      </c>
      <c r="D15" s="17" t="n">
        <v>-500</v>
      </c>
      <c r="E15" s="17" t="n">
        <v>-500</v>
      </c>
      <c r="F15" s="17" t="n">
        <v>-500</v>
      </c>
      <c r="G15" s="17" t="n">
        <v>-500</v>
      </c>
      <c r="H15" s="17" t="n">
        <v>-500</v>
      </c>
      <c r="I15" s="17" t="n">
        <v>-500</v>
      </c>
      <c r="J15" s="17" t="n">
        <v>-500</v>
      </c>
    </row>
    <row r="16" customFormat="false" ht="15" hidden="false" customHeight="false" outlineLevel="0" collapsed="false"/>
    <row r="17" customFormat="false" ht="15" hidden="false" customHeight="true" outlineLevel="0" collapsed="false">
      <c r="A17" s="4" t="s">
        <v>149</v>
      </c>
      <c r="B17" s="26" t="n">
        <f aca="false">B14+B15</f>
        <v>-500</v>
      </c>
      <c r="C17" s="26" t="n">
        <f aca="false">C14+C15</f>
        <v>-500</v>
      </c>
      <c r="D17" s="26" t="n">
        <f aca="false">D14+D15</f>
        <v>-500</v>
      </c>
      <c r="E17" s="26" t="n">
        <f aca="false">E14+E15</f>
        <v>-500</v>
      </c>
      <c r="F17" s="26" t="n">
        <f aca="false">F14+F15</f>
        <v>-500</v>
      </c>
      <c r="G17" s="26" t="n">
        <f aca="false">G14+G15</f>
        <v>-500</v>
      </c>
      <c r="H17" s="26" t="n">
        <f aca="false">H14+H15</f>
        <v>-500</v>
      </c>
      <c r="I17" s="26" t="n">
        <f aca="false">I14+I15</f>
        <v>-500</v>
      </c>
      <c r="J17" s="26" t="n">
        <f aca="false">J14+J15</f>
        <v>-500</v>
      </c>
    </row>
    <row r="18" customFormat="false" ht="15" hidden="false" customHeight="false" outlineLevel="0" collapsed="false"/>
    <row r="19" customFormat="false" ht="15" hidden="false" customHeight="true" outlineLevel="0" collapsed="false">
      <c r="A19" s="30" t="s">
        <v>150</v>
      </c>
      <c r="B19" s="31" t="n">
        <f aca="false">B11+B14</f>
        <v>14018.13984</v>
      </c>
      <c r="C19" s="31" t="n">
        <f aca="false">C11+C14</f>
        <v>9288.4683</v>
      </c>
      <c r="D19" s="31" t="n">
        <f aca="false">D11+D14</f>
        <v>10531.92092</v>
      </c>
      <c r="E19" s="31" t="n">
        <f aca="false">E11+E14</f>
        <v>12278.90256</v>
      </c>
      <c r="F19" s="31" t="n">
        <f aca="false">F11+F14</f>
        <v>16997.1925</v>
      </c>
      <c r="G19" s="31" t="n">
        <f aca="false">G11+G14</f>
        <v>24170.0144</v>
      </c>
      <c r="H19" s="31" t="n">
        <f aca="false">H11+H14</f>
        <v>33694.01168</v>
      </c>
      <c r="I19" s="31" t="n">
        <f aca="false">I11+I14</f>
        <v>44315.91534</v>
      </c>
      <c r="J19" s="31" t="n">
        <f aca="false">J11+J14</f>
        <v>56621.34152</v>
      </c>
    </row>
    <row r="20" customFormat="false" ht="15" hidden="false" customHeight="true" outlineLevel="0" collapsed="false">
      <c r="A20" s="11" t="s">
        <v>151</v>
      </c>
      <c r="B20" s="27" t="n">
        <f aca="false">IFERROR(B19/'Income Statement'!B9,0)</f>
        <v>0.172081950357222</v>
      </c>
      <c r="C20" s="27" t="n">
        <f aca="false">IFERROR(C19/'Income Statement'!C9,0)</f>
        <v>0.0959820228782822</v>
      </c>
      <c r="D20" s="27" t="n">
        <f aca="false">IFERROR(D19/'Income Statement'!D9,0)</f>
        <v>0.10121591596671</v>
      </c>
      <c r="E20" s="27" t="n">
        <f aca="false">IFERROR(E19/'Income Statement'!E9,0)</f>
        <v>0.098593254912037</v>
      </c>
      <c r="F20" s="27" t="n">
        <f aca="false">IFERROR(F19/'Income Statement'!F9,0)</f>
        <v>0.109145267450074</v>
      </c>
      <c r="G20" s="27" t="n">
        <f aca="false">IFERROR(G19/'Income Statement'!G9,0)</f>
        <v>0.123184416696397</v>
      </c>
      <c r="H20" s="27" t="n">
        <f aca="false">IFERROR(H19/'Income Statement'!H9,0)</f>
        <v>0.138040426731343</v>
      </c>
      <c r="I20" s="27" t="n">
        <f aca="false">IFERROR(I19/'Income Statement'!I9,0)</f>
        <v>0.148841486469693</v>
      </c>
      <c r="J20" s="27" t="n">
        <f aca="false">IFERROR(J19/'Income Statement'!J9,0)</f>
        <v>0.159345022260496</v>
      </c>
    </row>
    <row r="21" customFormat="false" ht="15" hidden="false" customHeight="true" outlineLevel="0" collapsed="false">
      <c r="A21" s="11" t="s">
        <v>152</v>
      </c>
      <c r="B21" s="36" t="n">
        <f aca="false">IFERROR(B19/Assumptions!B25,0)</f>
        <v>4.03399707625899</v>
      </c>
      <c r="C21" s="36" t="n">
        <f aca="false">IFERROR(C19/Assumptions!C24,0)</f>
        <v>309615.61</v>
      </c>
      <c r="D21" s="36" t="n">
        <f aca="false">IFERROR(D19/Assumptions!D24,0)</f>
        <v>351064.030666667</v>
      </c>
      <c r="E21" s="36" t="n">
        <f aca="false">IFERROR(E19/Assumptions!E24,0)</f>
        <v>409296.752</v>
      </c>
      <c r="F21" s="36" t="n">
        <f aca="false">IFERROR(F19/Assumptions!F24,0)</f>
        <v>566573.083333334</v>
      </c>
      <c r="G21" s="36" t="n">
        <f aca="false">IFERROR(G19/Assumptions!G24,0)</f>
        <v>805667.146666667</v>
      </c>
      <c r="H21" s="36" t="n">
        <f aca="false">IFERROR(H19/Assumptions!H24,0)</f>
        <v>1123133.72266667</v>
      </c>
      <c r="I21" s="36" t="n">
        <f aca="false">IFERROR(I19/Assumptions!I24,0)</f>
        <v>1477197.178</v>
      </c>
      <c r="J21" s="36" t="n">
        <f aca="false">IFERROR(J19/Assumptions!J24,0)</f>
        <v>1887378.05066667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153</v>
      </c>
    </row>
    <row r="2" customFormat="false" ht="15" hidden="false" customHeight="true" outlineLevel="0" collapsed="false">
      <c r="A2" s="11" t="s">
        <v>112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154</v>
      </c>
      <c r="B4" s="12" t="s">
        <v>52</v>
      </c>
      <c r="C4" s="12" t="s">
        <v>53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59</v>
      </c>
      <c r="J4" s="12" t="s">
        <v>60</v>
      </c>
    </row>
    <row r="5" customFormat="false" ht="15" hidden="false" customHeight="true" outlineLevel="0" collapsed="false">
      <c r="A5" s="13" t="s">
        <v>155</v>
      </c>
      <c r="B5" s="14"/>
      <c r="C5" s="14"/>
      <c r="D5" s="14"/>
      <c r="E5" s="14"/>
      <c r="F5" s="14"/>
      <c r="G5" s="14"/>
      <c r="H5" s="14"/>
      <c r="I5" s="14"/>
      <c r="J5" s="14"/>
    </row>
    <row r="6" customFormat="false" ht="15" hidden="false" customHeight="true" outlineLevel="0" collapsed="false">
      <c r="A6" s="6" t="s">
        <v>156</v>
      </c>
      <c r="B6" s="37" t="n">
        <v>1314</v>
      </c>
      <c r="C6" s="37" t="n">
        <v>1809</v>
      </c>
      <c r="D6" s="37" t="n">
        <v>1950</v>
      </c>
      <c r="E6" s="37" t="n">
        <v>2200</v>
      </c>
      <c r="F6" s="37" t="n">
        <v>2600</v>
      </c>
      <c r="G6" s="37" t="n">
        <v>3100</v>
      </c>
      <c r="H6" s="37" t="n">
        <v>3600</v>
      </c>
      <c r="I6" s="37" t="n">
        <v>4100</v>
      </c>
      <c r="J6" s="37" t="n">
        <v>4500</v>
      </c>
    </row>
    <row r="7" customFormat="false" ht="15" hidden="false" customHeight="true" outlineLevel="0" collapsed="false">
      <c r="A7" s="6" t="s">
        <v>157</v>
      </c>
      <c r="B7" s="38" t="n">
        <v>52</v>
      </c>
      <c r="C7" s="38" t="n">
        <v>44</v>
      </c>
      <c r="D7" s="38" t="n">
        <v>43</v>
      </c>
      <c r="E7" s="38" t="n">
        <v>42</v>
      </c>
      <c r="F7" s="38" t="n">
        <v>41.5</v>
      </c>
      <c r="G7" s="38" t="n">
        <v>41</v>
      </c>
      <c r="H7" s="38" t="n">
        <v>41</v>
      </c>
      <c r="I7" s="38" t="n">
        <v>41.5</v>
      </c>
      <c r="J7" s="38" t="n">
        <v>42</v>
      </c>
    </row>
    <row r="8" customFormat="false" ht="15" hidden="false" customHeight="true" outlineLevel="0" collapsed="false">
      <c r="A8" s="6" t="s">
        <v>158</v>
      </c>
      <c r="B8" s="16" t="n">
        <f aca="false">B6*B7*1000</f>
        <v>68328000</v>
      </c>
      <c r="C8" s="16" t="n">
        <f aca="false">C6*C7*1000</f>
        <v>79596000</v>
      </c>
      <c r="D8" s="16" t="n">
        <f aca="false">D6*D7*1000</f>
        <v>83850000</v>
      </c>
      <c r="E8" s="16" t="n">
        <f aca="false">E6*E7*1000</f>
        <v>92400000</v>
      </c>
      <c r="F8" s="16" t="n">
        <f aca="false">F6*F7*1000</f>
        <v>107900000</v>
      </c>
      <c r="G8" s="16" t="n">
        <f aca="false">G6*G7*1000</f>
        <v>127100000</v>
      </c>
      <c r="H8" s="16" t="n">
        <f aca="false">H6*H7*1000</f>
        <v>147600000</v>
      </c>
      <c r="I8" s="16" t="n">
        <f aca="false">I6*I7*1000</f>
        <v>170150000</v>
      </c>
      <c r="J8" s="16" t="n">
        <f aca="false">J6*J7*1000</f>
        <v>189000000</v>
      </c>
    </row>
    <row r="9" customFormat="false" ht="15" hidden="false" customHeight="true" outlineLevel="0" collapsed="false">
      <c r="A9" s="6" t="s">
        <v>159</v>
      </c>
      <c r="B9" s="17" t="n">
        <v>1776</v>
      </c>
      <c r="C9" s="17" t="n">
        <v>1790</v>
      </c>
      <c r="D9" s="17" t="n">
        <v>1200</v>
      </c>
      <c r="E9" s="17" t="n">
        <v>1000</v>
      </c>
      <c r="F9" s="17" t="n">
        <v>800</v>
      </c>
      <c r="G9" s="17" t="n">
        <v>600</v>
      </c>
      <c r="H9" s="17" t="n">
        <v>400</v>
      </c>
      <c r="I9" s="17" t="n">
        <v>300</v>
      </c>
      <c r="J9" s="17" t="n">
        <v>200</v>
      </c>
    </row>
    <row r="10" customFormat="false" ht="15" hidden="false" customHeight="true" outlineLevel="0" collapsed="false">
      <c r="A10" s="6" t="s">
        <v>62</v>
      </c>
      <c r="C10" s="18" t="n">
        <f aca="false">IFERROR((Assumptions!C9-Assumptions!B9)/Assumptions!B9,0)</f>
        <v>0.153326243318127</v>
      </c>
      <c r="D10" s="18" t="n">
        <f aca="false">IFERROR((Assumptions!D9-Assumptions!C9)/Assumptions!C9,0)</f>
        <v>0.00953663596986132</v>
      </c>
      <c r="E10" s="18" t="n">
        <f aca="false">IFERROR((Assumptions!E9-Assumptions!D9)/Assumptions!D9,0)</f>
        <v>0.120004807403401</v>
      </c>
      <c r="F10" s="18" t="n">
        <f aca="false">IFERROR((Assumptions!F9-Assumptions!E9)/Assumptions!E9,0)</f>
        <v>0.179997853846979</v>
      </c>
      <c r="G10" s="18" t="n">
        <f aca="false">IFERROR((Assumptions!G9-Assumptions!F9)/Assumptions!F9,0)</f>
        <v>0.200001818777054</v>
      </c>
      <c r="H10" s="18" t="n">
        <f aca="false">IFERROR((Assumptions!H9-Assumptions!G9)/Assumptions!G9,0)</f>
        <v>0.180005607887418</v>
      </c>
      <c r="I10" s="18" t="n">
        <f aca="false">IFERROR((Assumptions!I9-Assumptions!H9)/Assumptions!H9,0)</f>
        <v>0.150003211097553</v>
      </c>
      <c r="J10" s="18" t="n">
        <f aca="false">IFERROR((Assumptions!J9-Assumptions!I9)/Assumptions!I9,0)</f>
        <v>0.119999776619924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13" t="s">
        <v>160</v>
      </c>
      <c r="B12" s="14"/>
      <c r="C12" s="14"/>
      <c r="D12" s="14"/>
      <c r="E12" s="14"/>
      <c r="F12" s="14"/>
      <c r="G12" s="14"/>
      <c r="H12" s="14"/>
      <c r="I12" s="14"/>
      <c r="J12" s="14"/>
    </row>
    <row r="13" customFormat="false" ht="15" hidden="false" customHeight="true" outlineLevel="0" collapsed="false">
      <c r="A13" s="6" t="s">
        <v>161</v>
      </c>
      <c r="B13" s="39" t="n">
        <v>6.5</v>
      </c>
      <c r="C13" s="39" t="n">
        <v>14.7</v>
      </c>
      <c r="D13" s="39" t="n">
        <v>22</v>
      </c>
      <c r="E13" s="39" t="n">
        <v>35</v>
      </c>
      <c r="F13" s="39" t="n">
        <v>52</v>
      </c>
      <c r="G13" s="39" t="n">
        <v>72</v>
      </c>
      <c r="H13" s="39" t="n">
        <v>98</v>
      </c>
      <c r="I13" s="39" t="n">
        <v>130</v>
      </c>
      <c r="J13" s="39" t="n">
        <v>168</v>
      </c>
    </row>
    <row r="14" customFormat="false" ht="15" hidden="false" customHeight="true" outlineLevel="0" collapsed="false">
      <c r="A14" s="6" t="s">
        <v>162</v>
      </c>
      <c r="B14" s="17" t="n">
        <v>450</v>
      </c>
      <c r="C14" s="17" t="n">
        <v>380</v>
      </c>
      <c r="D14" s="17" t="n">
        <v>400</v>
      </c>
      <c r="E14" s="17" t="n">
        <v>420</v>
      </c>
      <c r="F14" s="17" t="n">
        <v>440</v>
      </c>
      <c r="G14" s="17" t="n">
        <v>460</v>
      </c>
      <c r="H14" s="17" t="n">
        <v>480</v>
      </c>
      <c r="I14" s="17" t="n">
        <v>500</v>
      </c>
      <c r="J14" s="17" t="n">
        <v>520</v>
      </c>
    </row>
    <row r="15" customFormat="false" ht="15" hidden="false" customHeight="true" outlineLevel="0" collapsed="false">
      <c r="A15" s="6" t="s">
        <v>163</v>
      </c>
      <c r="B15" s="17" t="n">
        <v>985</v>
      </c>
      <c r="C15" s="17" t="n">
        <v>1446</v>
      </c>
      <c r="D15" s="17" t="n">
        <v>1582</v>
      </c>
      <c r="E15" s="17" t="n">
        <v>1591</v>
      </c>
      <c r="F15" s="17" t="n">
        <v>1666</v>
      </c>
      <c r="G15" s="17" t="n">
        <v>1899</v>
      </c>
      <c r="H15" s="17" t="n">
        <v>2193</v>
      </c>
      <c r="I15" s="17" t="n">
        <v>2550</v>
      </c>
      <c r="J15" s="17" t="n">
        <v>2953</v>
      </c>
    </row>
    <row r="16" customFormat="false" ht="15" hidden="false" customHeight="true" outlineLevel="0" collapsed="false">
      <c r="A16" s="6" t="s">
        <v>66</v>
      </c>
      <c r="B16" s="16" t="n">
        <f aca="false">B13*B14+B15</f>
        <v>3910</v>
      </c>
      <c r="C16" s="16" t="n">
        <f aca="false">C13*C14+C15</f>
        <v>7032</v>
      </c>
      <c r="D16" s="16" t="n">
        <f aca="false">D13*D14+D15</f>
        <v>10382</v>
      </c>
      <c r="E16" s="16" t="n">
        <f aca="false">E13*E14+E15</f>
        <v>16291</v>
      </c>
      <c r="F16" s="16" t="n">
        <f aca="false">F13*F14+F15</f>
        <v>24546</v>
      </c>
      <c r="G16" s="16" t="n">
        <f aca="false">G13*G14+G15</f>
        <v>35019</v>
      </c>
      <c r="H16" s="16" t="n">
        <f aca="false">H13*H14+H15</f>
        <v>49233</v>
      </c>
      <c r="I16" s="16" t="n">
        <f aca="false">I13*I14+I15</f>
        <v>67550</v>
      </c>
      <c r="J16" s="16" t="n">
        <f aca="false">J13*J14+J15</f>
        <v>90313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5"/>
    <col collapsed="false" customWidth="true" hidden="false" outlineLevel="0" max="10" min="2" style="1" width="14"/>
  </cols>
  <sheetData>
    <row r="1" customFormat="false" ht="17.25" hidden="false" customHeight="true" outlineLevel="0" collapsed="false">
      <c r="A1" s="10" t="s">
        <v>164</v>
      </c>
    </row>
    <row r="2" customFormat="false" ht="15" hidden="false" customHeight="true" outlineLevel="0" collapsed="false">
      <c r="A2" s="11" t="s">
        <v>165</v>
      </c>
    </row>
    <row r="3" customFormat="false" ht="15" hidden="false" customHeight="false" outlineLevel="0" collapsed="false"/>
    <row r="4" customFormat="false" ht="15" hidden="false" customHeight="true" outlineLevel="0" collapsed="false">
      <c r="A4" s="13" t="s">
        <v>166</v>
      </c>
      <c r="B4" s="14"/>
      <c r="C4" s="14"/>
      <c r="D4" s="14"/>
    </row>
    <row r="5" customFormat="false" ht="15" hidden="false" customHeight="true" outlineLevel="0" collapsed="false">
      <c r="A5" s="6" t="s">
        <v>167</v>
      </c>
      <c r="B5" s="18" t="n">
        <f aca="false">Assumptions!E25</f>
        <v>3510</v>
      </c>
    </row>
    <row r="6" customFormat="false" ht="15" hidden="false" customHeight="true" outlineLevel="0" collapsed="false">
      <c r="A6" s="6" t="s">
        <v>168</v>
      </c>
      <c r="B6" s="18" t="n">
        <f aca="false">Assumptions!E26</f>
        <v>0.042</v>
      </c>
    </row>
    <row r="7" customFormat="false" ht="15" hidden="false" customHeight="true" outlineLevel="0" collapsed="false">
      <c r="A7" s="6" t="s">
        <v>81</v>
      </c>
      <c r="B7" s="40" t="n">
        <f aca="false">Assumptions!E27</f>
        <v>0.055</v>
      </c>
    </row>
    <row r="8" customFormat="false" ht="15" hidden="false" customHeight="true" outlineLevel="0" collapsed="false">
      <c r="A8" s="6" t="s">
        <v>169</v>
      </c>
      <c r="B8" s="18" t="n">
        <f aca="false">B5+B7*B6</f>
        <v>3510.00231</v>
      </c>
    </row>
    <row r="9" customFormat="false" ht="15" hidden="false" customHeight="true" outlineLevel="0" collapsed="false">
      <c r="A9" s="6" t="s">
        <v>170</v>
      </c>
      <c r="B9" s="15" t="n">
        <v>0.035</v>
      </c>
    </row>
    <row r="10" customFormat="false" ht="15" hidden="false" customHeight="true" outlineLevel="0" collapsed="false">
      <c r="A10" s="6" t="s">
        <v>171</v>
      </c>
      <c r="B10" s="15" t="n">
        <v>0.05</v>
      </c>
    </row>
    <row r="11" customFormat="false" ht="15" hidden="false" customHeight="true" outlineLevel="0" collapsed="false">
      <c r="A11" s="6" t="s">
        <v>172</v>
      </c>
      <c r="B11" s="18" t="n">
        <f aca="false">1-B10</f>
        <v>0.95</v>
      </c>
    </row>
    <row r="12" customFormat="false" ht="15" hidden="false" customHeight="true" outlineLevel="0" collapsed="false">
      <c r="A12" s="6" t="s">
        <v>173</v>
      </c>
      <c r="B12" s="41" t="n">
        <f aca="false">B8*B11+B9*B10</f>
        <v>3334.5039445</v>
      </c>
    </row>
    <row r="13" customFormat="false" ht="15" hidden="false" customHeight="false" outlineLevel="0" collapsed="false"/>
    <row r="14" customFormat="false" ht="15" hidden="false" customHeight="false" outlineLevel="0" collapsed="false"/>
    <row r="15" customFormat="false" ht="15" hidden="false" customHeight="true" outlineLevel="0" collapsed="false">
      <c r="A15" s="12" t="s">
        <v>174</v>
      </c>
      <c r="B15" s="12" t="s">
        <v>55</v>
      </c>
      <c r="C15" s="12" t="s">
        <v>56</v>
      </c>
      <c r="D15" s="12" t="s">
        <v>57</v>
      </c>
      <c r="E15" s="12" t="s">
        <v>58</v>
      </c>
      <c r="F15" s="12" t="s">
        <v>59</v>
      </c>
      <c r="G15" s="12" t="s">
        <v>60</v>
      </c>
    </row>
    <row r="16" customFormat="false" ht="15" hidden="false" customHeight="true" outlineLevel="0" collapsed="false">
      <c r="A16" s="6" t="s">
        <v>175</v>
      </c>
      <c r="B16" s="25" t="n">
        <f aca="false">'Cash Flow'!E19</f>
        <v>12278.90256</v>
      </c>
      <c r="C16" s="25" t="n">
        <f aca="false">'Cash Flow'!F19</f>
        <v>16997.1925</v>
      </c>
      <c r="D16" s="25" t="n">
        <f aca="false">'Cash Flow'!G19</f>
        <v>24170.0144</v>
      </c>
      <c r="E16" s="25" t="n">
        <f aca="false">'Cash Flow'!H19</f>
        <v>33694.01168</v>
      </c>
      <c r="F16" s="25" t="n">
        <f aca="false">'Cash Flow'!I19</f>
        <v>44315.91534</v>
      </c>
      <c r="G16" s="25" t="n">
        <f aca="false">'Cash Flow'!J19</f>
        <v>56621.34152</v>
      </c>
    </row>
    <row r="17" customFormat="false" ht="15" hidden="false" customHeight="true" outlineLevel="0" collapsed="false">
      <c r="A17" s="6" t="s">
        <v>176</v>
      </c>
      <c r="B17" s="42" t="n">
        <f aca="false">IFERROR(1/(1+$B$12)^1,0)</f>
        <v>0.000299804772124142</v>
      </c>
      <c r="C17" s="42" t="n">
        <f aca="false">IFERROR(1/(1+$B$12)^2,0)</f>
        <v>8.98829013884089E-008</v>
      </c>
      <c r="D17" s="42" t="n">
        <f aca="false">IFERROR(1/(1+$B$12)^3,0)</f>
        <v>2.69473227686087E-011</v>
      </c>
      <c r="E17" s="42" t="n">
        <f aca="false">IFERROR(1/(1+$B$12)^4,0)</f>
        <v>8.07893596199843E-015</v>
      </c>
      <c r="F17" s="42" t="n">
        <f aca="false">IFERROR(1/(1+$B$12)^5,0)</f>
        <v>2.42210355509248E-018</v>
      </c>
      <c r="G17" s="42" t="n">
        <f aca="false">IFERROR(1/(1+$B$12)^6,0)</f>
        <v>7.26158204395575E-022</v>
      </c>
    </row>
    <row r="18" customFormat="false" ht="15" hidden="false" customHeight="true" outlineLevel="0" collapsed="false">
      <c r="A18" s="4" t="s">
        <v>177</v>
      </c>
      <c r="B18" s="29" t="n">
        <f aca="false">B16*B17</f>
        <v>3.68127358393535</v>
      </c>
      <c r="C18" s="29" t="n">
        <f aca="false">C16*C17</f>
        <v>0.0015277569773573</v>
      </c>
      <c r="D18" s="29" t="n">
        <f aca="false">D16*D17</f>
        <v>6.51317179358719E-007</v>
      </c>
      <c r="E18" s="29" t="n">
        <f aca="false">E16*E17</f>
        <v>2.72211762665547E-010</v>
      </c>
      <c r="F18" s="29" t="n">
        <f aca="false">F16*F17</f>
        <v>1.07337736092191E-013</v>
      </c>
      <c r="G18" s="29" t="n">
        <f aca="false">G16*G17</f>
        <v>4.11160516886318E-017</v>
      </c>
    </row>
    <row r="19" customFormat="false" ht="15" hidden="false" customHeight="false" outlineLevel="0" collapsed="false"/>
    <row r="20" customFormat="false" ht="15" hidden="false" customHeight="true" outlineLevel="0" collapsed="false">
      <c r="A20" s="13" t="s">
        <v>178</v>
      </c>
      <c r="B20" s="14"/>
      <c r="C20" s="14"/>
      <c r="D20" s="14"/>
    </row>
    <row r="21" customFormat="false" ht="15" hidden="false" customHeight="true" outlineLevel="0" collapsed="false">
      <c r="A21" s="6" t="s">
        <v>179</v>
      </c>
      <c r="B21" s="16" t="n">
        <f aca="false">G16</f>
        <v>56621.34152</v>
      </c>
    </row>
    <row r="22" customFormat="false" ht="15" hidden="false" customHeight="true" outlineLevel="0" collapsed="false">
      <c r="A22" s="6" t="s">
        <v>180</v>
      </c>
      <c r="B22" s="18" t="n">
        <f aca="false">Assumptions!E28</f>
        <v>1.8</v>
      </c>
    </row>
    <row r="23" customFormat="false" ht="15" hidden="false" customHeight="true" outlineLevel="0" collapsed="false">
      <c r="A23" s="6" t="s">
        <v>181</v>
      </c>
      <c r="B23" s="16" t="n">
        <f aca="false">IFERROR(B21*(1+B22)/(B12-B22),0)</f>
        <v>47.5709090564855</v>
      </c>
    </row>
    <row r="24" customFormat="false" ht="15" hidden="false" customHeight="true" outlineLevel="0" collapsed="false">
      <c r="A24" s="6" t="s">
        <v>182</v>
      </c>
      <c r="B24" s="16" t="n">
        <f aca="false">IFERROR(B23/(1+$B$12)^6,0)</f>
        <v>3.45440059019227E-020</v>
      </c>
    </row>
    <row r="25" customFormat="false" ht="15" hidden="false" customHeight="false" outlineLevel="0" collapsed="false"/>
    <row r="26" customFormat="false" ht="15" hidden="false" customHeight="true" outlineLevel="0" collapsed="false">
      <c r="A26" s="6" t="s">
        <v>183</v>
      </c>
      <c r="B26" s="16" t="n">
        <f aca="false">SUM(B18:G18)</f>
        <v>3.6828019925022</v>
      </c>
    </row>
    <row r="27" customFormat="false" ht="15" hidden="false" customHeight="true" outlineLevel="0" collapsed="false">
      <c r="A27" s="6" t="s">
        <v>182</v>
      </c>
      <c r="B27" s="16" t="n">
        <f aca="false">B24</f>
        <v>3.45440059019227E-020</v>
      </c>
    </row>
    <row r="28" customFormat="false" ht="15" hidden="false" customHeight="true" outlineLevel="0" collapsed="false">
      <c r="A28" s="4" t="s">
        <v>184</v>
      </c>
      <c r="B28" s="16" t="n">
        <f aca="false">B26+B27</f>
        <v>3.6828019925022</v>
      </c>
    </row>
    <row r="29" customFormat="false" ht="15" hidden="false" customHeight="true" outlineLevel="0" collapsed="false">
      <c r="A29" s="6" t="s">
        <v>185</v>
      </c>
      <c r="B29" s="33" t="n">
        <v>-27800</v>
      </c>
    </row>
    <row r="30" customFormat="false" ht="15" hidden="false" customHeight="true" outlineLevel="0" collapsed="false">
      <c r="A30" s="4" t="s">
        <v>186</v>
      </c>
      <c r="B30" s="16" t="n">
        <f aca="false">B28-B29</f>
        <v>27803.6828019925</v>
      </c>
    </row>
    <row r="31" customFormat="false" ht="15" hidden="false" customHeight="true" outlineLevel="0" collapsed="false">
      <c r="A31" s="6" t="s">
        <v>78</v>
      </c>
      <c r="B31" s="43" t="n">
        <f aca="false">Assumptions!E24</f>
        <v>0.03</v>
      </c>
    </row>
    <row r="32" customFormat="false" ht="15" hidden="false" customHeight="true" outlineLevel="0" collapsed="false">
      <c r="A32" s="4" t="s">
        <v>187</v>
      </c>
      <c r="B32" s="44" t="n">
        <f aca="false">IFERROR(B30/B31,0)</f>
        <v>926789.426733083</v>
      </c>
    </row>
    <row r="33" customFormat="false" ht="15" hidden="false" customHeight="true" outlineLevel="0" collapsed="false">
      <c r="A33" s="6" t="s">
        <v>188</v>
      </c>
      <c r="B33" s="32" t="n">
        <f aca="false">Assumptions!E29</f>
        <v>0.03</v>
      </c>
    </row>
    <row r="34" customFormat="false" ht="15" hidden="false" customHeight="true" outlineLevel="0" collapsed="false">
      <c r="A34" s="4" t="s">
        <v>189</v>
      </c>
      <c r="B34" s="45" t="n">
        <f aca="false">IFERROR((B32-B33)/B33,0)</f>
        <v>30892979.8911028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0"/>
    <col collapsed="false" customWidth="true" hidden="false" outlineLevel="0" max="5" min="4" style="1" width="14"/>
    <col collapsed="false" customWidth="true" hidden="false" outlineLevel="0" max="6" min="6" style="1" width="18"/>
  </cols>
  <sheetData>
    <row r="1" customFormat="false" ht="17.25" hidden="false" customHeight="true" outlineLevel="0" collapsed="false">
      <c r="A1" s="10" t="s">
        <v>190</v>
      </c>
    </row>
    <row r="2" customFormat="false" ht="15" hidden="false" customHeight="true" outlineLevel="0" collapsed="false">
      <c r="A2" s="11" t="s">
        <v>191</v>
      </c>
    </row>
    <row r="3" customFormat="false" ht="15" hidden="false" customHeight="false" outlineLevel="0" collapsed="false"/>
    <row r="4" customFormat="false" ht="15" hidden="false" customHeight="true" outlineLevel="0" collapsed="false">
      <c r="A4" s="12" t="s">
        <v>192</v>
      </c>
      <c r="B4" s="12" t="s">
        <v>193</v>
      </c>
      <c r="C4" s="12" t="s">
        <v>194</v>
      </c>
      <c r="D4" s="12" t="s">
        <v>195</v>
      </c>
      <c r="E4" s="12" t="s">
        <v>196</v>
      </c>
      <c r="F4" s="12" t="s">
        <v>197</v>
      </c>
    </row>
    <row r="5" customFormat="false" ht="15" hidden="false" customHeight="true" outlineLevel="0" collapsed="false">
      <c r="A5" s="6" t="s">
        <v>198</v>
      </c>
      <c r="B5" s="24" t="n">
        <v>100</v>
      </c>
      <c r="C5" s="15" t="n">
        <v>0.9</v>
      </c>
      <c r="D5" s="32" t="n">
        <f aca="false">B5*C5</f>
        <v>90</v>
      </c>
      <c r="E5" s="6" t="s">
        <v>199</v>
      </c>
      <c r="F5" s="11" t="s">
        <v>200</v>
      </c>
    </row>
    <row r="6" customFormat="false" ht="15" hidden="false" customHeight="true" outlineLevel="0" collapsed="false">
      <c r="A6" s="6" t="s">
        <v>201</v>
      </c>
      <c r="B6" s="24" t="n">
        <v>100</v>
      </c>
      <c r="C6" s="15" t="n">
        <v>0.8</v>
      </c>
      <c r="D6" s="32" t="n">
        <f aca="false">B6*C6</f>
        <v>80</v>
      </c>
      <c r="E6" s="6" t="s">
        <v>202</v>
      </c>
      <c r="F6" s="11" t="s">
        <v>203</v>
      </c>
    </row>
    <row r="7" customFormat="false" ht="15" hidden="false" customHeight="true" outlineLevel="0" collapsed="false">
      <c r="A7" s="6" t="s">
        <v>204</v>
      </c>
      <c r="B7" s="24" t="n">
        <v>75</v>
      </c>
      <c r="C7" s="15" t="n">
        <v>0.6</v>
      </c>
      <c r="D7" s="32" t="n">
        <f aca="false">B7*C7</f>
        <v>45</v>
      </c>
      <c r="E7" s="6" t="s">
        <v>205</v>
      </c>
      <c r="F7" s="11" t="s">
        <v>206</v>
      </c>
    </row>
    <row r="8" customFormat="false" ht="15" hidden="false" customHeight="true" outlineLevel="0" collapsed="false">
      <c r="A8" s="6" t="s">
        <v>207</v>
      </c>
      <c r="B8" s="24" t="n">
        <v>225</v>
      </c>
      <c r="C8" s="15" t="n">
        <v>0.25</v>
      </c>
      <c r="D8" s="32" t="n">
        <f aca="false">B8*C8</f>
        <v>56.25</v>
      </c>
      <c r="E8" s="6" t="s">
        <v>208</v>
      </c>
      <c r="F8" s="11" t="s">
        <v>209</v>
      </c>
    </row>
    <row r="9" customFormat="false" ht="15" hidden="false" customHeight="true" outlineLevel="0" collapsed="false">
      <c r="A9" s="6" t="s">
        <v>210</v>
      </c>
      <c r="B9" s="24" t="n">
        <v>40</v>
      </c>
      <c r="C9" s="15" t="n">
        <v>0.8</v>
      </c>
      <c r="D9" s="32" t="n">
        <f aca="false">B9*C9</f>
        <v>32</v>
      </c>
      <c r="E9" s="6" t="s">
        <v>202</v>
      </c>
      <c r="F9" s="11" t="s">
        <v>211</v>
      </c>
    </row>
    <row r="10" customFormat="false" ht="15" hidden="false" customHeight="true" outlineLevel="0" collapsed="false">
      <c r="A10" s="6" t="s">
        <v>212</v>
      </c>
      <c r="B10" s="24" t="n">
        <v>125</v>
      </c>
      <c r="C10" s="15" t="n">
        <v>0.1</v>
      </c>
      <c r="D10" s="32" t="n">
        <f aca="false">B10*C10</f>
        <v>12.5</v>
      </c>
      <c r="E10" s="6" t="s">
        <v>213</v>
      </c>
      <c r="F10" s="11" t="s">
        <v>214</v>
      </c>
    </row>
    <row r="11" customFormat="false" ht="15" hidden="false" customHeight="false" outlineLevel="0" collapsed="false"/>
    <row r="12" customFormat="false" ht="15" hidden="false" customHeight="true" outlineLevel="0" collapsed="false">
      <c r="A12" s="4" t="s">
        <v>215</v>
      </c>
      <c r="D12" s="46" t="n">
        <f aca="false">SUM(D5:D10)</f>
        <v>315.75</v>
      </c>
    </row>
    <row r="13" customFormat="false" ht="15" hidden="false" customHeight="true" outlineLevel="0" collapsed="false">
      <c r="A13" s="6" t="s">
        <v>216</v>
      </c>
      <c r="B13" s="32" t="n">
        <f aca="false">SUM(B5:B10)</f>
        <v>665</v>
      </c>
    </row>
    <row r="14" customFormat="false" ht="15" hidden="false" customHeight="false" outlineLevel="0" collapsed="false"/>
    <row r="15" customFormat="false" ht="15" hidden="false" customHeight="true" outlineLevel="0" collapsed="false">
      <c r="A15" s="6" t="s">
        <v>188</v>
      </c>
      <c r="B15" s="47" t="n">
        <f aca="false">Assumptions!E29</f>
        <v>0.03</v>
      </c>
    </row>
    <row r="16" customFormat="false" ht="15" hidden="false" customHeight="true" outlineLevel="0" collapsed="false">
      <c r="A16" s="4" t="s">
        <v>217</v>
      </c>
      <c r="B16" s="45" t="n">
        <f aca="false">IFERROR((D12-B15)/B15,0)</f>
        <v>10524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5" min="4" style="1" width="14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10" t="s">
        <v>218</v>
      </c>
    </row>
    <row r="2" customFormat="false" ht="15" hidden="false" customHeight="false" outlineLevel="0" collapsed="false"/>
    <row r="3" customFormat="false" ht="15" hidden="false" customHeight="true" outlineLevel="0" collapsed="false">
      <c r="A3" s="12" t="s">
        <v>219</v>
      </c>
      <c r="B3" s="12" t="s">
        <v>220</v>
      </c>
      <c r="C3" s="12" t="s">
        <v>221</v>
      </c>
      <c r="D3" s="12" t="s">
        <v>195</v>
      </c>
      <c r="E3" s="12" t="s">
        <v>222</v>
      </c>
      <c r="F3" s="12" t="s">
        <v>223</v>
      </c>
    </row>
    <row r="4" customFormat="false" ht="15" hidden="false" customHeight="true" outlineLevel="0" collapsed="false">
      <c r="A4" s="6" t="s">
        <v>224</v>
      </c>
      <c r="B4" s="24" t="n">
        <v>800</v>
      </c>
      <c r="C4" s="15" t="n">
        <v>0.1</v>
      </c>
      <c r="D4" s="32" t="n">
        <f aca="false">B4*C4</f>
        <v>80</v>
      </c>
      <c r="E4" s="18" t="n">
        <f aca="false">IFERROR((B4-Assumptions!E29)/Assumptions!E29,0)</f>
        <v>26665.6666666667</v>
      </c>
      <c r="F4" s="11" t="s">
        <v>225</v>
      </c>
    </row>
    <row r="5" customFormat="false" ht="15" hidden="false" customHeight="true" outlineLevel="0" collapsed="false">
      <c r="A5" s="6" t="s">
        <v>226</v>
      </c>
      <c r="B5" s="24" t="n">
        <v>600</v>
      </c>
      <c r="C5" s="15" t="n">
        <v>0.3</v>
      </c>
      <c r="D5" s="32" t="n">
        <f aca="false">B5*C5</f>
        <v>180</v>
      </c>
      <c r="E5" s="18" t="n">
        <f aca="false">IFERROR((B5-Assumptions!E29)/Assumptions!E29,0)</f>
        <v>19999</v>
      </c>
      <c r="F5" s="11" t="s">
        <v>227</v>
      </c>
    </row>
    <row r="6" customFormat="false" ht="15" hidden="false" customHeight="true" outlineLevel="0" collapsed="false">
      <c r="A6" s="6" t="s">
        <v>228</v>
      </c>
      <c r="B6" s="24" t="n">
        <v>435</v>
      </c>
      <c r="C6" s="15" t="n">
        <v>0.35</v>
      </c>
      <c r="D6" s="32" t="n">
        <f aca="false">B6*C6</f>
        <v>152.25</v>
      </c>
      <c r="E6" s="18" t="n">
        <f aca="false">IFERROR((B6-Assumptions!E29)/Assumptions!E29,0)</f>
        <v>14499</v>
      </c>
      <c r="F6" s="11" t="s">
        <v>229</v>
      </c>
    </row>
    <row r="7" customFormat="false" ht="15" hidden="false" customHeight="true" outlineLevel="0" collapsed="false">
      <c r="A7" s="6" t="s">
        <v>230</v>
      </c>
      <c r="B7" s="24" t="n">
        <v>320</v>
      </c>
      <c r="C7" s="15" t="n">
        <v>0.2</v>
      </c>
      <c r="D7" s="32" t="n">
        <f aca="false">B7*C7</f>
        <v>64</v>
      </c>
      <c r="E7" s="18" t="n">
        <f aca="false">IFERROR((B7-Assumptions!E29)/Assumptions!E29,0)</f>
        <v>10665.6666666667</v>
      </c>
      <c r="F7" s="11" t="s">
        <v>231</v>
      </c>
    </row>
    <row r="8" customFormat="false" ht="15" hidden="false" customHeight="true" outlineLevel="0" collapsed="false">
      <c r="A8" s="6" t="s">
        <v>232</v>
      </c>
      <c r="B8" s="24" t="n">
        <v>170</v>
      </c>
      <c r="C8" s="15" t="n">
        <v>0.05</v>
      </c>
      <c r="D8" s="32" t="n">
        <f aca="false">B8*C8</f>
        <v>8.5</v>
      </c>
      <c r="E8" s="18" t="n">
        <f aca="false">IFERROR((B8-Assumptions!E29)/Assumptions!E29,0)</f>
        <v>5665.66666666667</v>
      </c>
      <c r="F8" s="11" t="s">
        <v>233</v>
      </c>
    </row>
    <row r="9" customFormat="false" ht="15" hidden="false" customHeight="false" outlineLevel="0" collapsed="false"/>
    <row r="10" customFormat="false" ht="15" hidden="false" customHeight="true" outlineLevel="0" collapsed="false">
      <c r="A10" s="30" t="s">
        <v>234</v>
      </c>
      <c r="B10" s="48" t="n">
        <f aca="false">SUMPRODUCT(B4:B8,C4:C8)</f>
        <v>484.75</v>
      </c>
      <c r="C10" s="49" t="n">
        <f aca="false">SUM(C4:C8)</f>
        <v>1</v>
      </c>
      <c r="D10" s="50" t="n">
        <f aca="false">SUM(D4:D8)</f>
        <v>484.75</v>
      </c>
      <c r="E10" s="45" t="n">
        <f aca="false">IFERROR((D10-Assumptions!E29)/Assumptions!E29,0)</f>
        <v>16157.3333333333</v>
      </c>
    </row>
    <row r="11" customFormat="false" ht="15" hidden="false" customHeight="false" outlineLevel="0" collapsed="false"/>
    <row r="12" customFormat="false" ht="15" hidden="false" customHeight="false" outlineLevel="0" collapsed="false"/>
    <row r="13" customFormat="false" ht="15" hidden="false" customHeight="false" outlineLevel="0" collapsed="false"/>
    <row r="14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5A5A5"/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0"/>
    <col collapsed="false" customWidth="true" hidden="false" outlineLevel="0" max="9" min="2" style="1" width="12"/>
  </cols>
  <sheetData>
    <row r="1" customFormat="false" ht="17.25" hidden="false" customHeight="true" outlineLevel="0" collapsed="false">
      <c r="A1" s="10" t="s">
        <v>235</v>
      </c>
    </row>
    <row r="2" customFormat="false" ht="15" hidden="false" customHeight="false" outlineLevel="0" collapsed="false"/>
    <row r="3" customFormat="false" ht="15" hidden="false" customHeight="true" outlineLevel="0" collapsed="false">
      <c r="A3" s="12" t="s">
        <v>236</v>
      </c>
      <c r="B3" s="12" t="s">
        <v>237</v>
      </c>
      <c r="C3" s="12" t="s">
        <v>238</v>
      </c>
      <c r="D3" s="12" t="s">
        <v>239</v>
      </c>
      <c r="E3" s="12" t="s">
        <v>240</v>
      </c>
      <c r="F3" s="12" t="s">
        <v>241</v>
      </c>
      <c r="G3" s="12" t="s">
        <v>242</v>
      </c>
      <c r="H3" s="12" t="s">
        <v>243</v>
      </c>
      <c r="I3" s="12" t="s">
        <v>244</v>
      </c>
    </row>
    <row r="4" customFormat="false" ht="15" hidden="false" customHeight="true" outlineLevel="0" collapsed="false">
      <c r="A4" s="51" t="s">
        <v>245</v>
      </c>
      <c r="B4" s="52" t="s">
        <v>3</v>
      </c>
      <c r="C4" s="19" t="n">
        <v>1280</v>
      </c>
      <c r="D4" s="22" t="n">
        <v>12</v>
      </c>
      <c r="E4" s="22" t="n">
        <v>65</v>
      </c>
      <c r="F4" s="22" t="n">
        <v>166</v>
      </c>
      <c r="G4" s="15" t="n">
        <v>0.15</v>
      </c>
      <c r="H4" s="15" t="n">
        <v>0.182</v>
      </c>
      <c r="I4" s="15" t="n">
        <v>0.003</v>
      </c>
    </row>
    <row r="5" customFormat="false" ht="15" hidden="false" customHeight="true" outlineLevel="0" collapsed="false">
      <c r="A5" s="6" t="s">
        <v>246</v>
      </c>
      <c r="B5" s="6" t="s">
        <v>247</v>
      </c>
      <c r="C5" s="37" t="n">
        <v>110</v>
      </c>
      <c r="D5" s="53" t="n">
        <v>0.9</v>
      </c>
      <c r="E5" s="53" t="n">
        <v>12</v>
      </c>
      <c r="F5" s="53" t="n">
        <v>22</v>
      </c>
      <c r="G5" s="54" t="n">
        <v>0.3</v>
      </c>
      <c r="H5" s="54" t="n">
        <v>0.2</v>
      </c>
      <c r="I5" s="54" t="n">
        <v>0.04</v>
      </c>
    </row>
    <row r="6" customFormat="false" ht="15" hidden="false" customHeight="true" outlineLevel="0" collapsed="false">
      <c r="A6" s="6" t="s">
        <v>248</v>
      </c>
      <c r="B6" s="6" t="s">
        <v>249</v>
      </c>
      <c r="C6" s="37" t="n">
        <v>18</v>
      </c>
      <c r="D6" s="53" t="n">
        <v>1.2</v>
      </c>
      <c r="E6" s="53" t="n">
        <v>-15</v>
      </c>
      <c r="F6" s="53" t="n">
        <v>-10</v>
      </c>
      <c r="G6" s="54" t="n">
        <v>0.5</v>
      </c>
      <c r="H6" s="54" t="n">
        <v>-0.3</v>
      </c>
      <c r="I6" s="54" t="n">
        <v>-0.2</v>
      </c>
    </row>
    <row r="7" customFormat="false" ht="15" hidden="false" customHeight="true" outlineLevel="0" collapsed="false">
      <c r="A7" s="6" t="s">
        <v>250</v>
      </c>
      <c r="B7" s="6" t="s">
        <v>250</v>
      </c>
      <c r="C7" s="37" t="n">
        <v>12</v>
      </c>
      <c r="D7" s="53" t="n">
        <v>1.5</v>
      </c>
      <c r="E7" s="53" t="n">
        <v>-20</v>
      </c>
      <c r="F7" s="53" t="n">
        <v>-8</v>
      </c>
      <c r="G7" s="54" t="n">
        <v>0.25</v>
      </c>
      <c r="H7" s="54" t="n">
        <v>0.05</v>
      </c>
      <c r="I7" s="54" t="n">
        <v>-0.15</v>
      </c>
    </row>
    <row r="8" customFormat="false" ht="15" hidden="false" customHeight="true" outlineLevel="0" collapsed="false">
      <c r="A8" s="6" t="s">
        <v>251</v>
      </c>
      <c r="B8" s="6" t="s">
        <v>252</v>
      </c>
      <c r="C8" s="37" t="n">
        <v>280</v>
      </c>
      <c r="D8" s="53" t="n">
        <v>0.9</v>
      </c>
      <c r="E8" s="53" t="n">
        <v>8</v>
      </c>
      <c r="F8" s="53" t="n">
        <v>10</v>
      </c>
      <c r="G8" s="54" t="n">
        <v>0.05</v>
      </c>
      <c r="H8" s="54" t="n">
        <v>0.185</v>
      </c>
      <c r="I8" s="54" t="n">
        <v>0.06</v>
      </c>
    </row>
    <row r="9" customFormat="false" ht="15" hidden="false" customHeight="true" outlineLevel="0" collapsed="false">
      <c r="A9" s="6" t="s">
        <v>253</v>
      </c>
      <c r="B9" s="6" t="s">
        <v>254</v>
      </c>
      <c r="C9" s="37" t="n">
        <v>65</v>
      </c>
      <c r="D9" s="53" t="n">
        <v>0.2</v>
      </c>
      <c r="E9" s="53" t="n">
        <v>3</v>
      </c>
      <c r="F9" s="53" t="n">
        <v>4.5</v>
      </c>
      <c r="G9" s="54" t="n">
        <v>0.03</v>
      </c>
      <c r="H9" s="54" t="n">
        <v>0.17</v>
      </c>
      <c r="I9" s="54" t="n">
        <v>0.05</v>
      </c>
    </row>
    <row r="10" customFormat="false" ht="15" hidden="false" customHeight="true" outlineLevel="0" collapsed="false">
      <c r="A10" s="6" t="s">
        <v>255</v>
      </c>
      <c r="B10" s="6" t="s">
        <v>255</v>
      </c>
      <c r="C10" s="37" t="n">
        <v>55</v>
      </c>
      <c r="D10" s="53" t="n">
        <v>0.3</v>
      </c>
      <c r="E10" s="53" t="n">
        <v>5</v>
      </c>
      <c r="F10" s="53" t="n">
        <v>6</v>
      </c>
      <c r="G10" s="54" t="n">
        <v>0.02</v>
      </c>
      <c r="H10" s="54" t="n">
        <v>0.155</v>
      </c>
      <c r="I10" s="54" t="n">
        <v>0.07</v>
      </c>
    </row>
    <row r="11" customFormat="false" ht="15" hidden="false" customHeight="true" outlineLevel="0" collapsed="false">
      <c r="A11" s="6" t="s">
        <v>256</v>
      </c>
      <c r="B11" s="6" t="s">
        <v>257</v>
      </c>
      <c r="C11" s="37" t="n">
        <v>40</v>
      </c>
      <c r="D11" s="53" t="n">
        <v>0.2</v>
      </c>
      <c r="E11" s="53" t="n">
        <v>6</v>
      </c>
      <c r="F11" s="53" t="n">
        <v>7</v>
      </c>
      <c r="G11" s="54" t="n">
        <v>0.01</v>
      </c>
      <c r="H11" s="54" t="n">
        <v>0.12</v>
      </c>
      <c r="I11" s="54" t="n">
        <v>0.04</v>
      </c>
    </row>
    <row r="12" customFormat="false" ht="15" hidden="false" customHeight="false" outlineLevel="0" collapsed="false"/>
    <row r="13" customFormat="false" ht="15" hidden="false" customHeight="true" outlineLevel="0" collapsed="false">
      <c r="A13" s="4" t="s">
        <v>258</v>
      </c>
      <c r="C13" s="55" t="n">
        <f aca="false">MEDIAN(C5:C11)</f>
        <v>55</v>
      </c>
      <c r="D13" s="56" t="n">
        <f aca="false">MEDIAN(D5:D11)</f>
        <v>0.9</v>
      </c>
      <c r="E13" s="56" t="n">
        <f aca="false">MEDIAN(E5:E11)</f>
        <v>5</v>
      </c>
      <c r="F13" s="56" t="n">
        <f aca="false">MEDIAN(F5:F11)</f>
        <v>6</v>
      </c>
      <c r="G13" s="41" t="n">
        <f aca="false">MEDIAN(G5:G11)</f>
        <v>0.05</v>
      </c>
      <c r="H13" s="41" t="n">
        <f aca="false">MEDIAN(H5:H11)</f>
        <v>0.155</v>
      </c>
      <c r="I13" s="41" t="n">
        <f aca="false">MEDIAN(I5:I11)</f>
        <v>0.04</v>
      </c>
    </row>
    <row r="14" customFormat="false" ht="15" hidden="false" customHeight="true" outlineLevel="0" collapsed="false">
      <c r="A14" s="4" t="s">
        <v>259</v>
      </c>
      <c r="C14" s="57" t="n">
        <f aca="false">IFERROR((C4-C13)/C13,0)</f>
        <v>22.2727272727273</v>
      </c>
      <c r="D14" s="57" t="n">
        <f aca="false">IFERROR((D4-D13)/D13,0)</f>
        <v>12.3333333333333</v>
      </c>
      <c r="E14" s="57" t="n">
        <f aca="false">IFERROR((E4-E13)/E13,0)</f>
        <v>12</v>
      </c>
      <c r="F14" s="57" t="n">
        <f aca="false">IFERROR((F4-F13)/F13,0)</f>
        <v>26.6666666666667</v>
      </c>
      <c r="G14" s="57" t="n">
        <f aca="false">IFERROR((G4-G13)/G13,0)</f>
        <v>2</v>
      </c>
      <c r="H14" s="57" t="n">
        <f aca="false">IFERROR((H4-H13)/H13,0)</f>
        <v>0.174193548387097</v>
      </c>
      <c r="I14" s="57" t="n">
        <f aca="false">IFERROR((I4-I13)/I13,0)</f>
        <v>-0.925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25"/>
  </cols>
  <sheetData>
    <row r="1" customFormat="false" ht="17.25" hidden="false" customHeight="true" outlineLevel="0" collapsed="false">
      <c r="A1" s="10"/>
      <c r="B1" s="10" t="s">
        <v>260</v>
      </c>
    </row>
    <row r="2" customFormat="false" ht="15" hidden="false" customHeight="false" outlineLevel="0" collapsed="false"/>
    <row r="3" customFormat="false" ht="15" hidden="false" customHeight="true" outlineLevel="0" collapsed="false">
      <c r="A3" s="12" t="s">
        <v>261</v>
      </c>
      <c r="B3" s="12" t="s">
        <v>262</v>
      </c>
      <c r="C3" s="12" t="s">
        <v>263</v>
      </c>
      <c r="D3" s="12" t="s">
        <v>264</v>
      </c>
      <c r="E3" s="12" t="s">
        <v>265</v>
      </c>
      <c r="F3" s="12" t="s">
        <v>266</v>
      </c>
    </row>
    <row r="4" customFormat="false" ht="15" hidden="false" customHeight="true" outlineLevel="0" collapsed="false">
      <c r="A4" s="6" t="n">
        <v>1</v>
      </c>
      <c r="B4" s="6" t="s">
        <v>267</v>
      </c>
      <c r="C4" s="58" t="n">
        <v>6.5</v>
      </c>
      <c r="D4" s="59" t="s">
        <v>268</v>
      </c>
      <c r="E4" s="6" t="s">
        <v>269</v>
      </c>
      <c r="F4" s="11" t="s">
        <v>270</v>
      </c>
    </row>
    <row r="5" customFormat="false" ht="15" hidden="false" customHeight="true" outlineLevel="0" collapsed="false">
      <c r="A5" s="6" t="n">
        <v>2</v>
      </c>
      <c r="B5" s="6" t="s">
        <v>271</v>
      </c>
      <c r="C5" s="58" t="n">
        <v>6.5</v>
      </c>
      <c r="D5" s="59" t="s">
        <v>268</v>
      </c>
      <c r="E5" s="6" t="s">
        <v>272</v>
      </c>
      <c r="F5" s="11" t="s">
        <v>273</v>
      </c>
    </row>
    <row r="6" customFormat="false" ht="15" hidden="false" customHeight="true" outlineLevel="0" collapsed="false">
      <c r="A6" s="6" t="n">
        <v>3</v>
      </c>
      <c r="B6" s="6" t="s">
        <v>274</v>
      </c>
      <c r="C6" s="58" t="n">
        <v>6.5</v>
      </c>
      <c r="D6" s="59" t="s">
        <v>268</v>
      </c>
      <c r="E6" s="6" t="s">
        <v>275</v>
      </c>
      <c r="F6" s="11" t="s">
        <v>276</v>
      </c>
    </row>
    <row r="7" customFormat="false" ht="15" hidden="false" customHeight="true" outlineLevel="0" collapsed="false">
      <c r="A7" s="6" t="n">
        <v>4</v>
      </c>
      <c r="B7" s="6" t="s">
        <v>277</v>
      </c>
      <c r="C7" s="60" t="n">
        <v>7.5</v>
      </c>
      <c r="D7" s="61" t="s">
        <v>278</v>
      </c>
      <c r="E7" s="6" t="s">
        <v>279</v>
      </c>
      <c r="F7" s="11" t="s">
        <v>280</v>
      </c>
    </row>
    <row r="8" customFormat="false" ht="15" hidden="false" customHeight="true" outlineLevel="0" collapsed="false">
      <c r="A8" s="6" t="n">
        <v>5</v>
      </c>
      <c r="B8" s="6" t="s">
        <v>281</v>
      </c>
      <c r="C8" s="58" t="n">
        <v>6.5</v>
      </c>
      <c r="D8" s="61" t="s">
        <v>278</v>
      </c>
      <c r="E8" s="6" t="s">
        <v>282</v>
      </c>
      <c r="F8" s="11" t="s">
        <v>283</v>
      </c>
    </row>
    <row r="9" customFormat="false" ht="15" hidden="false" customHeight="true" outlineLevel="0" collapsed="false">
      <c r="A9" s="6" t="n">
        <v>6</v>
      </c>
      <c r="B9" s="6" t="s">
        <v>284</v>
      </c>
      <c r="C9" s="60" t="n">
        <v>8</v>
      </c>
      <c r="D9" s="59" t="s">
        <v>268</v>
      </c>
      <c r="E9" s="6" t="s">
        <v>285</v>
      </c>
      <c r="F9" s="11" t="s">
        <v>286</v>
      </c>
    </row>
    <row r="10" customFormat="false" ht="15" hidden="false" customHeight="true" outlineLevel="0" collapsed="false">
      <c r="A10" s="6" t="n">
        <v>7</v>
      </c>
      <c r="B10" s="6" t="s">
        <v>287</v>
      </c>
      <c r="C10" s="60" t="n">
        <v>8</v>
      </c>
      <c r="D10" s="62" t="s">
        <v>288</v>
      </c>
      <c r="E10" s="6" t="s">
        <v>289</v>
      </c>
      <c r="F10" s="11" t="s">
        <v>290</v>
      </c>
    </row>
    <row r="11" customFormat="false" ht="15" hidden="false" customHeight="true" outlineLevel="0" collapsed="false">
      <c r="A11" s="6" t="n">
        <v>8</v>
      </c>
      <c r="B11" s="6" t="s">
        <v>291</v>
      </c>
      <c r="C11" s="58" t="n">
        <v>6.8</v>
      </c>
      <c r="D11" s="59" t="s">
        <v>268</v>
      </c>
      <c r="E11" s="6" t="s">
        <v>292</v>
      </c>
      <c r="F11" s="11" t="s">
        <v>293</v>
      </c>
    </row>
    <row r="12" customFormat="false" ht="15" hidden="false" customHeight="true" outlineLevel="0" collapsed="false">
      <c r="A12" s="6" t="n">
        <v>9</v>
      </c>
      <c r="B12" s="6" t="s">
        <v>294</v>
      </c>
      <c r="C12" s="60" t="n">
        <v>7.8</v>
      </c>
      <c r="D12" s="59" t="s">
        <v>268</v>
      </c>
      <c r="E12" s="6" t="s">
        <v>295</v>
      </c>
      <c r="F12" s="11" t="s">
        <v>296</v>
      </c>
    </row>
    <row r="13" customFormat="false" ht="15" hidden="false" customHeight="true" outlineLevel="0" collapsed="false">
      <c r="A13" s="6" t="n">
        <v>10</v>
      </c>
      <c r="B13" s="6" t="s">
        <v>297</v>
      </c>
      <c r="C13" s="58" t="n">
        <v>5</v>
      </c>
      <c r="D13" s="61" t="s">
        <v>278</v>
      </c>
      <c r="E13" s="6" t="s">
        <v>298</v>
      </c>
      <c r="F13" s="11" t="s">
        <v>299</v>
      </c>
    </row>
    <row r="14" customFormat="false" ht="15" hidden="false" customHeight="true" outlineLevel="0" collapsed="false">
      <c r="A14" s="6" t="n">
        <v>11</v>
      </c>
      <c r="B14" s="6" t="s">
        <v>300</v>
      </c>
      <c r="C14" s="58" t="n">
        <v>6</v>
      </c>
      <c r="D14" s="61" t="s">
        <v>278</v>
      </c>
      <c r="E14" s="6" t="s">
        <v>275</v>
      </c>
      <c r="F14" s="11" t="s">
        <v>301</v>
      </c>
    </row>
    <row r="15" customFormat="false" ht="15" hidden="false" customHeight="true" outlineLevel="0" collapsed="false">
      <c r="A15" s="6" t="n">
        <v>12</v>
      </c>
      <c r="B15" s="6" t="s">
        <v>302</v>
      </c>
      <c r="C15" s="58" t="n">
        <v>6</v>
      </c>
      <c r="D15" s="59" t="s">
        <v>268</v>
      </c>
      <c r="E15" s="6" t="s">
        <v>303</v>
      </c>
      <c r="F15" s="11" t="s">
        <v>304</v>
      </c>
    </row>
    <row r="16" customFormat="false" ht="15" hidden="false" customHeight="true" outlineLevel="0" collapsed="false">
      <c r="A16" s="6" t="n">
        <v>13</v>
      </c>
      <c r="B16" s="6" t="s">
        <v>305</v>
      </c>
      <c r="C16" s="58" t="n">
        <v>5</v>
      </c>
      <c r="D16" s="61" t="s">
        <v>278</v>
      </c>
      <c r="E16" s="6" t="s">
        <v>306</v>
      </c>
      <c r="F16" s="11" t="s">
        <v>307</v>
      </c>
    </row>
    <row r="17" customFormat="false" ht="15" hidden="false" customHeight="true" outlineLevel="0" collapsed="false">
      <c r="A17" s="6" t="n">
        <v>14</v>
      </c>
      <c r="B17" s="6" t="s">
        <v>308</v>
      </c>
      <c r="C17" s="58" t="n">
        <v>6</v>
      </c>
      <c r="D17" s="59" t="s">
        <v>268</v>
      </c>
      <c r="E17" s="6" t="s">
        <v>309</v>
      </c>
      <c r="F17" s="11" t="s">
        <v>310</v>
      </c>
    </row>
    <row r="18" customFormat="false" ht="15" hidden="false" customHeight="true" outlineLevel="0" collapsed="false">
      <c r="A18" s="6" t="n">
        <v>15</v>
      </c>
      <c r="B18" s="6" t="s">
        <v>311</v>
      </c>
      <c r="C18" s="58" t="n">
        <v>6.5</v>
      </c>
      <c r="D18" s="61" t="s">
        <v>278</v>
      </c>
      <c r="E18" s="6" t="s">
        <v>312</v>
      </c>
      <c r="F18" s="11" t="s">
        <v>313</v>
      </c>
    </row>
    <row r="19" customFormat="false" ht="15" hidden="false" customHeight="true" outlineLevel="0" collapsed="false">
      <c r="A19" s="6" t="n">
        <v>16</v>
      </c>
      <c r="B19" s="6" t="s">
        <v>314</v>
      </c>
      <c r="C19" s="58" t="n">
        <v>6.8</v>
      </c>
      <c r="D19" s="59" t="s">
        <v>268</v>
      </c>
      <c r="E19" s="6" t="s">
        <v>315</v>
      </c>
      <c r="F19" s="11" t="s">
        <v>316</v>
      </c>
    </row>
    <row r="20" customFormat="false" ht="15" hidden="false" customHeight="false" outlineLevel="0" collapsed="false"/>
    <row r="21" customFormat="false" ht="15" hidden="false" customHeight="true" outlineLevel="0" collapsed="false">
      <c r="B21" s="4" t="s">
        <v>317</v>
      </c>
      <c r="C21" s="63" t="n">
        <f aca="false">AVERAGE(C4:C20)</f>
        <v>6.5875</v>
      </c>
    </row>
    <row r="22" customFormat="false" ht="15" hidden="false" customHeight="false" outlineLevel="0" collapsed="false"/>
    <row r="23" customFormat="false" ht="15" hidden="false" customHeight="false" outlineLevel="0" collapsed="false"/>
    <row r="24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5"/>
    <col collapsed="false" customWidth="true" hidden="false" outlineLevel="0" max="2" min="2" style="1" width="35"/>
    <col collapsed="false" customWidth="true" hidden="false" outlineLevel="0" max="5" min="3" style="1" width="12"/>
    <col collapsed="false" customWidth="true" hidden="false" outlineLevel="0" max="6" min="6" style="1" width="30"/>
  </cols>
  <sheetData>
    <row r="1" customFormat="false" ht="17.25" hidden="false" customHeight="true" outlineLevel="0" collapsed="false">
      <c r="A1" s="10" t="s">
        <v>318</v>
      </c>
    </row>
    <row r="2" customFormat="false" ht="15" hidden="false" customHeight="false" outlineLevel="0" collapsed="false"/>
    <row r="3" customFormat="false" ht="15" hidden="false" customHeight="true" outlineLevel="0" collapsed="false">
      <c r="A3" s="12" t="s">
        <v>319</v>
      </c>
      <c r="B3" s="12" t="s">
        <v>320</v>
      </c>
      <c r="C3" s="12" t="s">
        <v>321</v>
      </c>
      <c r="D3" s="12" t="s">
        <v>322</v>
      </c>
      <c r="E3" s="12" t="s">
        <v>221</v>
      </c>
      <c r="F3" s="12" t="s">
        <v>197</v>
      </c>
    </row>
    <row r="4" customFormat="false" ht="15" hidden="false" customHeight="true" outlineLevel="0" collapsed="false">
      <c r="A4" s="6" t="s">
        <v>323</v>
      </c>
      <c r="B4" s="6" t="s">
        <v>324</v>
      </c>
      <c r="C4" s="59" t="s">
        <v>325</v>
      </c>
      <c r="D4" s="64" t="s">
        <v>268</v>
      </c>
      <c r="E4" s="54" t="n">
        <v>0.6</v>
      </c>
      <c r="F4" s="11" t="s">
        <v>326</v>
      </c>
    </row>
    <row r="5" customFormat="false" ht="15" hidden="false" customHeight="true" outlineLevel="0" collapsed="false">
      <c r="A5" s="6" t="s">
        <v>327</v>
      </c>
      <c r="B5" s="6" t="s">
        <v>328</v>
      </c>
      <c r="C5" s="61" t="s">
        <v>275</v>
      </c>
      <c r="D5" s="64" t="s">
        <v>268</v>
      </c>
      <c r="E5" s="54" t="n">
        <v>0.95</v>
      </c>
      <c r="F5" s="11" t="s">
        <v>329</v>
      </c>
    </row>
    <row r="6" customFormat="false" ht="15" hidden="false" customHeight="true" outlineLevel="0" collapsed="false">
      <c r="A6" s="6" t="s">
        <v>330</v>
      </c>
      <c r="B6" s="6" t="s">
        <v>331</v>
      </c>
      <c r="C6" s="59" t="s">
        <v>325</v>
      </c>
      <c r="D6" s="64" t="s">
        <v>268</v>
      </c>
      <c r="E6" s="54" t="n">
        <v>0.65</v>
      </c>
      <c r="F6" s="11" t="s">
        <v>332</v>
      </c>
    </row>
    <row r="7" customFormat="false" ht="15" hidden="false" customHeight="true" outlineLevel="0" collapsed="false">
      <c r="A7" s="6" t="s">
        <v>333</v>
      </c>
      <c r="B7" s="6" t="s">
        <v>334</v>
      </c>
      <c r="C7" s="59" t="s">
        <v>325</v>
      </c>
      <c r="D7" s="65" t="s">
        <v>335</v>
      </c>
      <c r="E7" s="54" t="n">
        <v>0.42</v>
      </c>
      <c r="F7" s="11" t="s">
        <v>336</v>
      </c>
    </row>
    <row r="8" customFormat="false" ht="15" hidden="false" customHeight="true" outlineLevel="0" collapsed="false">
      <c r="A8" s="6" t="s">
        <v>337</v>
      </c>
      <c r="B8" s="6" t="s">
        <v>338</v>
      </c>
      <c r="C8" s="59" t="s">
        <v>325</v>
      </c>
      <c r="D8" s="65" t="s">
        <v>335</v>
      </c>
      <c r="E8" s="54" t="n">
        <v>0.35</v>
      </c>
      <c r="F8" s="11" t="s">
        <v>339</v>
      </c>
    </row>
    <row r="9" customFormat="false" ht="15" hidden="false" customHeight="true" outlineLevel="0" collapsed="false">
      <c r="A9" s="6" t="s">
        <v>340</v>
      </c>
      <c r="B9" s="6" t="s">
        <v>341</v>
      </c>
      <c r="C9" s="59" t="s">
        <v>325</v>
      </c>
      <c r="D9" s="64" t="s">
        <v>268</v>
      </c>
      <c r="E9" s="54" t="n">
        <v>0.5</v>
      </c>
      <c r="F9" s="11" t="s">
        <v>342</v>
      </c>
    </row>
    <row r="10" customFormat="false" ht="15" hidden="false" customHeight="true" outlineLevel="0" collapsed="false">
      <c r="A10" s="6" t="s">
        <v>340</v>
      </c>
      <c r="B10" s="6" t="s">
        <v>343</v>
      </c>
      <c r="C10" s="61" t="s">
        <v>275</v>
      </c>
      <c r="D10" s="66" t="s">
        <v>344</v>
      </c>
      <c r="E10" s="54" t="n">
        <v>0.4</v>
      </c>
      <c r="F10" s="11" t="s">
        <v>345</v>
      </c>
    </row>
    <row r="11" customFormat="false" ht="15" hidden="false" customHeight="true" outlineLevel="0" collapsed="false">
      <c r="A11" s="6" t="s">
        <v>346</v>
      </c>
      <c r="B11" s="6" t="s">
        <v>347</v>
      </c>
      <c r="C11" s="59" t="s">
        <v>325</v>
      </c>
      <c r="D11" s="66" t="s">
        <v>344</v>
      </c>
      <c r="E11" s="54" t="n">
        <v>0.7</v>
      </c>
      <c r="F11" s="11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0000"/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5"/>
    <col collapsed="false" customWidth="true" hidden="false" outlineLevel="0" max="4" min="4" style="1" width="30"/>
  </cols>
  <sheetData>
    <row r="1" customFormat="false" ht="17.25" hidden="false" customHeight="true" outlineLevel="0" collapsed="false">
      <c r="A1" s="10" t="s">
        <v>349</v>
      </c>
    </row>
    <row r="2" customFormat="false" ht="15" hidden="false" customHeight="false" outlineLevel="0" collapsed="false"/>
    <row r="3" customFormat="false" ht="15" hidden="false" customHeight="true" outlineLevel="0" collapsed="false">
      <c r="A3" s="12" t="s">
        <v>350</v>
      </c>
      <c r="B3" s="12" t="s">
        <v>351</v>
      </c>
      <c r="C3" s="12" t="s">
        <v>352</v>
      </c>
      <c r="D3" s="12" t="s">
        <v>197</v>
      </c>
    </row>
    <row r="4" customFormat="false" ht="15" hidden="false" customHeight="true" outlineLevel="0" collapsed="false">
      <c r="A4" s="6" t="s">
        <v>353</v>
      </c>
      <c r="B4" s="15" t="n">
        <v>0.65</v>
      </c>
      <c r="C4" s="11"/>
      <c r="D4" s="11" t="s">
        <v>354</v>
      </c>
    </row>
    <row r="5" customFormat="false" ht="15" hidden="false" customHeight="true" outlineLevel="0" collapsed="false">
      <c r="A5" s="6" t="s">
        <v>355</v>
      </c>
      <c r="B5" s="18" t="n">
        <f aca="false">1-B4</f>
        <v>0.35</v>
      </c>
      <c r="C5" s="11"/>
      <c r="D5" s="11"/>
    </row>
    <row r="6" customFormat="false" ht="15" hidden="false" customHeight="true" outlineLevel="0" collapsed="false">
      <c r="A6" s="6" t="s">
        <v>356</v>
      </c>
      <c r="B6" s="67" t="n">
        <v>2.8</v>
      </c>
      <c r="C6" s="11"/>
      <c r="D6" s="11" t="s">
        <v>357</v>
      </c>
    </row>
    <row r="7" customFormat="false" ht="15" hidden="false" customHeight="true" outlineLevel="0" collapsed="false">
      <c r="A7" s="6" t="s">
        <v>358</v>
      </c>
      <c r="B7" s="18" t="n">
        <f aca="false">IFERROR((B4*B6-B5)/B6,0)</f>
        <v>0.525</v>
      </c>
      <c r="C7" s="11"/>
      <c r="D7" s="11" t="s">
        <v>359</v>
      </c>
    </row>
    <row r="8" customFormat="false" ht="15" hidden="false" customHeight="true" outlineLevel="0" collapsed="false">
      <c r="A8" s="6" t="s">
        <v>360</v>
      </c>
      <c r="B8" s="18" t="n">
        <f aca="false">IFERROR(B7/2,0)</f>
        <v>0.2625</v>
      </c>
      <c r="C8" s="11"/>
      <c r="D8" s="11" t="s">
        <v>361</v>
      </c>
    </row>
    <row r="9" customFormat="false" ht="15" hidden="false" customHeight="false" outlineLevel="0" collapsed="false"/>
    <row r="10" customFormat="false" ht="15" hidden="false" customHeight="true" outlineLevel="0" collapsed="false">
      <c r="A10" s="6" t="s">
        <v>362</v>
      </c>
      <c r="B10" s="68" t="n">
        <v>1000000</v>
      </c>
      <c r="C10" s="11"/>
      <c r="D10" s="11" t="s">
        <v>363</v>
      </c>
    </row>
    <row r="11" customFormat="false" ht="15" hidden="false" customHeight="true" outlineLevel="0" collapsed="false">
      <c r="A11" s="6" t="s">
        <v>364</v>
      </c>
      <c r="B11" s="69" t="n">
        <f aca="false">B10*B8</f>
        <v>262500</v>
      </c>
      <c r="C11" s="11"/>
      <c r="D11" s="11" t="s">
        <v>365</v>
      </c>
    </row>
    <row r="12" customFormat="false" ht="15" hidden="false" customHeight="true" outlineLevel="0" collapsed="false">
      <c r="A12" s="6" t="s">
        <v>366</v>
      </c>
      <c r="B12" s="43" t="n">
        <f aca="false">IFERROR(B11/Assumptions!E29,0)</f>
        <v>8750000</v>
      </c>
      <c r="C12" s="11"/>
      <c r="D12" s="11" t="s">
        <v>367</v>
      </c>
    </row>
    <row r="13" customFormat="false" ht="15" hidden="false" customHeight="false" outlineLevel="0" collapsed="false"/>
    <row r="14" customFormat="false" ht="15" hidden="false" customHeight="true" outlineLevel="0" collapsed="false">
      <c r="A14" s="6" t="s">
        <v>368</v>
      </c>
      <c r="B14" s="15" t="n">
        <v>-0.495</v>
      </c>
      <c r="C14" s="11"/>
      <c r="D14" s="11" t="s">
        <v>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1A6B"/>
    <pageSetUpPr fitToPage="false"/>
  </sheetPr>
  <dimension ref="A1:I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22"/>
    <col collapsed="false" customWidth="true" hidden="false" outlineLevel="0" max="4" min="3" style="1" width="18"/>
    <col collapsed="false" customWidth="true" hidden="false" outlineLevel="0" max="5" min="5" style="1" width="22"/>
    <col collapsed="false" customWidth="true" hidden="false" outlineLevel="0" max="7" min="6" style="1" width="18"/>
    <col collapsed="false" customWidth="true" hidden="false" outlineLevel="0" max="8" min="8" style="1" width="22"/>
    <col collapsed="false" customWidth="true" hidden="false" outlineLevel="0" max="9" min="9" style="1" width="35"/>
    <col collapsed="false" customWidth="true" hidden="false" outlineLevel="0" max="11" min="10" style="1" width="18"/>
  </cols>
  <sheetData>
    <row r="1" customFormat="false" ht="36" hidden="false" customHeight="true" outlineLevel="0" collapsed="false">
      <c r="A1" s="70" t="s">
        <v>370</v>
      </c>
      <c r="B1" s="70"/>
      <c r="C1" s="70"/>
      <c r="D1" s="70"/>
      <c r="E1" s="70"/>
      <c r="F1" s="70"/>
      <c r="G1" s="70"/>
      <c r="H1" s="70"/>
      <c r="I1" s="70"/>
    </row>
    <row r="2" customFormat="false" ht="15" hidden="false" customHeight="true" outlineLevel="0" collapsed="false">
      <c r="A2" s="71" t="s">
        <v>371</v>
      </c>
      <c r="B2" s="71"/>
      <c r="C2" s="71"/>
      <c r="D2" s="71"/>
      <c r="E2" s="71"/>
      <c r="F2" s="71"/>
      <c r="G2" s="71"/>
      <c r="H2" s="71"/>
      <c r="I2" s="71"/>
    </row>
    <row r="3" customFormat="false" ht="15" hidden="false" customHeight="true" outlineLevel="0" collapsed="false">
      <c r="A3" s="72" t="s">
        <v>372</v>
      </c>
      <c r="B3" s="72"/>
      <c r="C3" s="72"/>
      <c r="D3" s="72"/>
      <c r="E3" s="72"/>
      <c r="F3" s="72"/>
      <c r="G3" s="72"/>
      <c r="H3" s="72"/>
      <c r="I3" s="72"/>
    </row>
    <row r="4" customFormat="false" ht="15" hidden="false" customHeight="false" outlineLevel="0" collapsed="false"/>
    <row r="5" customFormat="false" ht="27.75" hidden="false" customHeight="true" outlineLevel="0" collapsed="false">
      <c r="A5" s="73" t="s">
        <v>373</v>
      </c>
      <c r="B5" s="73"/>
      <c r="C5" s="73"/>
      <c r="D5" s="73"/>
      <c r="E5" s="73"/>
      <c r="F5" s="73"/>
      <c r="G5" s="73"/>
      <c r="H5" s="73"/>
      <c r="I5" s="73"/>
    </row>
    <row r="6" customFormat="false" ht="15" hidden="false" customHeight="true" outlineLevel="0" collapsed="false">
      <c r="A6" s="74" t="s">
        <v>374</v>
      </c>
      <c r="B6" s="74" t="s">
        <v>375</v>
      </c>
      <c r="C6" s="74" t="s">
        <v>376</v>
      </c>
      <c r="D6" s="74" t="s">
        <v>377</v>
      </c>
      <c r="E6" s="74" t="s">
        <v>378</v>
      </c>
      <c r="F6" s="74" t="s">
        <v>264</v>
      </c>
      <c r="G6" s="74" t="s">
        <v>379</v>
      </c>
      <c r="H6" s="74" t="s">
        <v>380</v>
      </c>
      <c r="I6" s="74" t="s">
        <v>381</v>
      </c>
    </row>
    <row r="7" customFormat="false" ht="23.25" hidden="false" customHeight="true" outlineLevel="0" collapsed="false">
      <c r="A7" s="75" t="s">
        <v>382</v>
      </c>
      <c r="B7" s="76" t="s">
        <v>383</v>
      </c>
      <c r="C7" s="76" t="s">
        <v>384</v>
      </c>
      <c r="D7" s="76" t="s">
        <v>385</v>
      </c>
      <c r="E7" s="77" t="s">
        <v>386</v>
      </c>
      <c r="F7" s="76" t="s">
        <v>268</v>
      </c>
      <c r="G7" s="78" t="s">
        <v>387</v>
      </c>
      <c r="H7" s="76" t="s">
        <v>388</v>
      </c>
      <c r="I7" s="76" t="s">
        <v>389</v>
      </c>
    </row>
    <row r="8" customFormat="false" ht="23.25" hidden="false" customHeight="true" outlineLevel="0" collapsed="false">
      <c r="A8" s="79" t="s">
        <v>382</v>
      </c>
      <c r="B8" s="80" t="s">
        <v>390</v>
      </c>
      <c r="C8" s="80" t="s">
        <v>391</v>
      </c>
      <c r="D8" s="80" t="s">
        <v>392</v>
      </c>
      <c r="E8" s="81" t="s">
        <v>386</v>
      </c>
      <c r="F8" s="80" t="s">
        <v>278</v>
      </c>
      <c r="G8" s="78" t="s">
        <v>387</v>
      </c>
      <c r="H8" s="80" t="s">
        <v>393</v>
      </c>
      <c r="I8" s="80" t="s">
        <v>394</v>
      </c>
    </row>
    <row r="9" customFormat="false" ht="23.25" hidden="false" customHeight="true" outlineLevel="0" collapsed="false">
      <c r="A9" s="75" t="s">
        <v>382</v>
      </c>
      <c r="B9" s="76" t="s">
        <v>395</v>
      </c>
      <c r="C9" s="76" t="s">
        <v>396</v>
      </c>
      <c r="D9" s="76" t="s">
        <v>397</v>
      </c>
      <c r="E9" s="77" t="s">
        <v>386</v>
      </c>
      <c r="F9" s="76" t="s">
        <v>268</v>
      </c>
      <c r="G9" s="78" t="s">
        <v>387</v>
      </c>
      <c r="H9" s="76" t="s">
        <v>398</v>
      </c>
      <c r="I9" s="76" t="s">
        <v>399</v>
      </c>
    </row>
    <row r="10" customFormat="false" ht="23.25" hidden="false" customHeight="true" outlineLevel="0" collapsed="false">
      <c r="A10" s="79" t="s">
        <v>400</v>
      </c>
      <c r="B10" s="80" t="s">
        <v>401</v>
      </c>
      <c r="C10" s="80" t="s">
        <v>402</v>
      </c>
      <c r="D10" s="80" t="s">
        <v>403</v>
      </c>
      <c r="E10" s="81" t="s">
        <v>386</v>
      </c>
      <c r="F10" s="80" t="s">
        <v>268</v>
      </c>
      <c r="G10" s="78" t="s">
        <v>387</v>
      </c>
      <c r="H10" s="80" t="s">
        <v>404</v>
      </c>
      <c r="I10" s="80" t="s">
        <v>405</v>
      </c>
    </row>
    <row r="11" customFormat="false" ht="23.25" hidden="false" customHeight="true" outlineLevel="0" collapsed="false">
      <c r="A11" s="75" t="s">
        <v>400</v>
      </c>
      <c r="B11" s="76" t="s">
        <v>406</v>
      </c>
      <c r="C11" s="76" t="s">
        <v>407</v>
      </c>
      <c r="D11" s="76" t="s">
        <v>408</v>
      </c>
      <c r="E11" s="77" t="s">
        <v>386</v>
      </c>
      <c r="F11" s="76" t="s">
        <v>268</v>
      </c>
      <c r="G11" s="78" t="s">
        <v>387</v>
      </c>
      <c r="H11" s="76" t="s">
        <v>409</v>
      </c>
      <c r="I11" s="76" t="s">
        <v>410</v>
      </c>
    </row>
    <row r="12" customFormat="false" ht="23.25" hidden="false" customHeight="true" outlineLevel="0" collapsed="false">
      <c r="A12" s="79" t="s">
        <v>400</v>
      </c>
      <c r="B12" s="80" t="s">
        <v>411</v>
      </c>
      <c r="C12" s="80" t="s">
        <v>412</v>
      </c>
      <c r="D12" s="80" t="s">
        <v>413</v>
      </c>
      <c r="E12" s="81" t="s">
        <v>386</v>
      </c>
      <c r="F12" s="80" t="s">
        <v>278</v>
      </c>
      <c r="G12" s="78" t="s">
        <v>387</v>
      </c>
      <c r="H12" s="80" t="s">
        <v>414</v>
      </c>
      <c r="I12" s="80" t="s">
        <v>415</v>
      </c>
    </row>
    <row r="13" customFormat="false" ht="23.25" hidden="false" customHeight="true" outlineLevel="0" collapsed="false">
      <c r="A13" s="75" t="s">
        <v>416</v>
      </c>
      <c r="B13" s="76" t="s">
        <v>417</v>
      </c>
      <c r="C13" s="76" t="s">
        <v>418</v>
      </c>
      <c r="D13" s="76" t="s">
        <v>419</v>
      </c>
      <c r="E13" s="77" t="s">
        <v>386</v>
      </c>
      <c r="F13" s="76" t="s">
        <v>268</v>
      </c>
      <c r="G13" s="78" t="s">
        <v>387</v>
      </c>
      <c r="H13" s="76" t="s">
        <v>420</v>
      </c>
      <c r="I13" s="76" t="s">
        <v>421</v>
      </c>
    </row>
    <row r="14" customFormat="false" ht="23.25" hidden="false" customHeight="true" outlineLevel="0" collapsed="false">
      <c r="A14" s="79" t="s">
        <v>416</v>
      </c>
      <c r="B14" s="80" t="s">
        <v>422</v>
      </c>
      <c r="C14" s="80" t="s">
        <v>423</v>
      </c>
      <c r="D14" s="80" t="s">
        <v>424</v>
      </c>
      <c r="E14" s="81" t="s">
        <v>386</v>
      </c>
      <c r="F14" s="80" t="s">
        <v>278</v>
      </c>
      <c r="G14" s="78" t="s">
        <v>387</v>
      </c>
      <c r="H14" s="80" t="s">
        <v>425</v>
      </c>
      <c r="I14" s="80" t="s">
        <v>426</v>
      </c>
    </row>
    <row r="15" customFormat="false" ht="23.25" hidden="false" customHeight="true" outlineLevel="0" collapsed="false">
      <c r="A15" s="75" t="s">
        <v>416</v>
      </c>
      <c r="B15" s="76" t="s">
        <v>427</v>
      </c>
      <c r="C15" s="76" t="s">
        <v>428</v>
      </c>
      <c r="D15" s="76" t="s">
        <v>429</v>
      </c>
      <c r="E15" s="77" t="s">
        <v>386</v>
      </c>
      <c r="F15" s="76" t="s">
        <v>268</v>
      </c>
      <c r="G15" s="78" t="s">
        <v>387</v>
      </c>
      <c r="H15" s="76" t="s">
        <v>430</v>
      </c>
      <c r="I15" s="76" t="s">
        <v>431</v>
      </c>
    </row>
    <row r="16" customFormat="false" ht="23.25" hidden="false" customHeight="true" outlineLevel="0" collapsed="false">
      <c r="A16" s="79" t="s">
        <v>432</v>
      </c>
      <c r="B16" s="80" t="s">
        <v>433</v>
      </c>
      <c r="C16" s="80" t="s">
        <v>434</v>
      </c>
      <c r="D16" s="80" t="s">
        <v>435</v>
      </c>
      <c r="E16" s="81" t="s">
        <v>386</v>
      </c>
      <c r="F16" s="80" t="s">
        <v>268</v>
      </c>
      <c r="G16" s="78" t="s">
        <v>387</v>
      </c>
      <c r="H16" s="80" t="s">
        <v>436</v>
      </c>
      <c r="I16" s="80" t="s">
        <v>437</v>
      </c>
    </row>
    <row r="17" customFormat="false" ht="23.25" hidden="false" customHeight="true" outlineLevel="0" collapsed="false">
      <c r="A17" s="75" t="s">
        <v>432</v>
      </c>
      <c r="B17" s="76" t="s">
        <v>438</v>
      </c>
      <c r="C17" s="76" t="s">
        <v>439</v>
      </c>
      <c r="D17" s="76" t="s">
        <v>440</v>
      </c>
      <c r="E17" s="82" t="s">
        <v>441</v>
      </c>
      <c r="F17" s="76" t="s">
        <v>278</v>
      </c>
      <c r="G17" s="76" t="s">
        <v>442</v>
      </c>
      <c r="H17" s="76" t="s">
        <v>443</v>
      </c>
      <c r="I17" s="76" t="s">
        <v>444</v>
      </c>
    </row>
    <row r="18" customFormat="false" ht="23.25" hidden="false" customHeight="true" outlineLevel="0" collapsed="false">
      <c r="A18" s="79" t="s">
        <v>432</v>
      </c>
      <c r="B18" s="80" t="s">
        <v>445</v>
      </c>
      <c r="C18" s="80" t="s">
        <v>446</v>
      </c>
      <c r="D18" s="80" t="s">
        <v>447</v>
      </c>
      <c r="E18" s="81" t="s">
        <v>386</v>
      </c>
      <c r="F18" s="80" t="s">
        <v>278</v>
      </c>
      <c r="G18" s="78" t="s">
        <v>387</v>
      </c>
      <c r="H18" s="80" t="s">
        <v>448</v>
      </c>
      <c r="I18" s="80" t="s">
        <v>449</v>
      </c>
    </row>
    <row r="19" customFormat="false" ht="23.25" hidden="false" customHeight="true" outlineLevel="0" collapsed="false">
      <c r="A19" s="75" t="s">
        <v>432</v>
      </c>
      <c r="B19" s="76" t="s">
        <v>450</v>
      </c>
      <c r="C19" s="76" t="s">
        <v>451</v>
      </c>
      <c r="D19" s="76" t="s">
        <v>452</v>
      </c>
      <c r="E19" s="82" t="s">
        <v>441</v>
      </c>
      <c r="F19" s="76" t="s">
        <v>288</v>
      </c>
      <c r="G19" s="78" t="s">
        <v>387</v>
      </c>
      <c r="H19" s="76" t="s">
        <v>453</v>
      </c>
      <c r="I19" s="76" t="s">
        <v>454</v>
      </c>
    </row>
    <row r="20" customFormat="false" ht="15" hidden="false" customHeight="true" outlineLevel="0" collapsed="false">
      <c r="A20" s="79" t="s">
        <v>455</v>
      </c>
      <c r="B20" s="80" t="s">
        <v>456</v>
      </c>
      <c r="C20" s="80" t="s">
        <v>457</v>
      </c>
      <c r="D20" s="80" t="s">
        <v>458</v>
      </c>
      <c r="E20" s="81" t="s">
        <v>386</v>
      </c>
      <c r="F20" s="80" t="s">
        <v>278</v>
      </c>
      <c r="G20" s="80" t="s">
        <v>442</v>
      </c>
      <c r="H20" s="80" t="s">
        <v>459</v>
      </c>
      <c r="I20" s="80" t="s">
        <v>460</v>
      </c>
    </row>
    <row r="21" customFormat="false" ht="23.25" hidden="false" customHeight="true" outlineLevel="0" collapsed="false">
      <c r="A21" s="75" t="s">
        <v>455</v>
      </c>
      <c r="B21" s="76" t="s">
        <v>461</v>
      </c>
      <c r="C21" s="76" t="s">
        <v>462</v>
      </c>
      <c r="D21" s="76" t="s">
        <v>463</v>
      </c>
      <c r="E21" s="77" t="s">
        <v>386</v>
      </c>
      <c r="F21" s="76" t="s">
        <v>268</v>
      </c>
      <c r="G21" s="78" t="s">
        <v>387</v>
      </c>
      <c r="H21" s="76" t="s">
        <v>464</v>
      </c>
      <c r="I21" s="76" t="s">
        <v>465</v>
      </c>
    </row>
    <row r="22" customFormat="false" ht="15" hidden="false" customHeight="true" outlineLevel="0" collapsed="false">
      <c r="A22" s="79" t="s">
        <v>455</v>
      </c>
      <c r="B22" s="80" t="s">
        <v>466</v>
      </c>
      <c r="C22" s="80" t="s">
        <v>467</v>
      </c>
      <c r="D22" s="80" t="s">
        <v>468</v>
      </c>
      <c r="E22" s="81" t="s">
        <v>386</v>
      </c>
      <c r="F22" s="80" t="s">
        <v>278</v>
      </c>
      <c r="G22" s="78" t="s">
        <v>387</v>
      </c>
      <c r="H22" s="80" t="s">
        <v>469</v>
      </c>
      <c r="I22" s="80" t="s">
        <v>470</v>
      </c>
    </row>
    <row r="23" customFormat="false" ht="23.25" hidden="false" customHeight="true" outlineLevel="0" collapsed="false">
      <c r="A23" s="75" t="s">
        <v>471</v>
      </c>
      <c r="B23" s="76" t="s">
        <v>472</v>
      </c>
      <c r="C23" s="76" t="s">
        <v>473</v>
      </c>
      <c r="D23" s="76" t="s">
        <v>474</v>
      </c>
      <c r="E23" s="83" t="s">
        <v>475</v>
      </c>
      <c r="F23" s="76" t="s">
        <v>288</v>
      </c>
      <c r="G23" s="78" t="s">
        <v>387</v>
      </c>
      <c r="H23" s="76" t="s">
        <v>476</v>
      </c>
      <c r="I23" s="76" t="s">
        <v>477</v>
      </c>
    </row>
    <row r="24" customFormat="false" ht="23.25" hidden="false" customHeight="true" outlineLevel="0" collapsed="false">
      <c r="A24" s="79" t="s">
        <v>471</v>
      </c>
      <c r="B24" s="80" t="s">
        <v>478</v>
      </c>
      <c r="C24" s="80" t="s">
        <v>479</v>
      </c>
      <c r="D24" s="80" t="s">
        <v>480</v>
      </c>
      <c r="E24" s="84" t="s">
        <v>475</v>
      </c>
      <c r="F24" s="80" t="s">
        <v>288</v>
      </c>
      <c r="G24" s="78" t="s">
        <v>387</v>
      </c>
      <c r="H24" s="80" t="s">
        <v>481</v>
      </c>
      <c r="I24" s="80" t="s">
        <v>482</v>
      </c>
    </row>
    <row r="25" customFormat="false" ht="23.25" hidden="false" customHeight="true" outlineLevel="0" collapsed="false">
      <c r="A25" s="75" t="s">
        <v>471</v>
      </c>
      <c r="B25" s="76" t="s">
        <v>483</v>
      </c>
      <c r="C25" s="76" t="s">
        <v>484</v>
      </c>
      <c r="D25" s="76" t="s">
        <v>485</v>
      </c>
      <c r="E25" s="77" t="s">
        <v>386</v>
      </c>
      <c r="F25" s="76" t="s">
        <v>278</v>
      </c>
      <c r="G25" s="78" t="s">
        <v>387</v>
      </c>
      <c r="H25" s="76" t="s">
        <v>486</v>
      </c>
      <c r="I25" s="76" t="s">
        <v>487</v>
      </c>
    </row>
    <row r="26" customFormat="false" ht="23.25" hidden="false" customHeight="true" outlineLevel="0" collapsed="false">
      <c r="A26" s="79" t="s">
        <v>488</v>
      </c>
      <c r="B26" s="80" t="s">
        <v>489</v>
      </c>
      <c r="C26" s="80" t="s">
        <v>490</v>
      </c>
      <c r="D26" s="80" t="s">
        <v>491</v>
      </c>
      <c r="E26" s="81" t="s">
        <v>386</v>
      </c>
      <c r="F26" s="80" t="s">
        <v>278</v>
      </c>
      <c r="G26" s="78" t="s">
        <v>387</v>
      </c>
      <c r="H26" s="80" t="s">
        <v>492</v>
      </c>
      <c r="I26" s="80" t="s">
        <v>493</v>
      </c>
    </row>
    <row r="27" customFormat="false" ht="23.25" hidden="false" customHeight="true" outlineLevel="0" collapsed="false">
      <c r="A27" s="75" t="s">
        <v>488</v>
      </c>
      <c r="B27" s="76" t="s">
        <v>494</v>
      </c>
      <c r="C27" s="76" t="s">
        <v>495</v>
      </c>
      <c r="D27" s="76" t="s">
        <v>496</v>
      </c>
      <c r="E27" s="82" t="s">
        <v>441</v>
      </c>
      <c r="F27" s="76" t="s">
        <v>278</v>
      </c>
      <c r="G27" s="78" t="s">
        <v>387</v>
      </c>
      <c r="H27" s="76" t="s">
        <v>497</v>
      </c>
      <c r="I27" s="76" t="s">
        <v>498</v>
      </c>
    </row>
    <row r="28" customFormat="false" ht="23.25" hidden="false" customHeight="true" outlineLevel="0" collapsed="false">
      <c r="A28" s="79" t="s">
        <v>499</v>
      </c>
      <c r="B28" s="80" t="s">
        <v>500</v>
      </c>
      <c r="C28" s="80" t="s">
        <v>501</v>
      </c>
      <c r="D28" s="80" t="s">
        <v>480</v>
      </c>
      <c r="E28" s="81" t="s">
        <v>386</v>
      </c>
      <c r="F28" s="80" t="s">
        <v>278</v>
      </c>
      <c r="G28" s="78" t="s">
        <v>387</v>
      </c>
      <c r="H28" s="80" t="s">
        <v>502</v>
      </c>
      <c r="I28" s="80" t="s">
        <v>503</v>
      </c>
    </row>
    <row r="29" customFormat="false" ht="23.25" hidden="false" customHeight="true" outlineLevel="0" collapsed="false">
      <c r="A29" s="75" t="s">
        <v>499</v>
      </c>
      <c r="B29" s="76" t="s">
        <v>504</v>
      </c>
      <c r="C29" s="76" t="s">
        <v>505</v>
      </c>
      <c r="D29" s="76" t="s">
        <v>506</v>
      </c>
      <c r="E29" s="77" t="s">
        <v>386</v>
      </c>
      <c r="F29" s="76" t="s">
        <v>278</v>
      </c>
      <c r="G29" s="78" t="s">
        <v>387</v>
      </c>
      <c r="H29" s="76" t="s">
        <v>507</v>
      </c>
      <c r="I29" s="76" t="s">
        <v>508</v>
      </c>
    </row>
    <row r="30" customFormat="false" ht="23.25" hidden="false" customHeight="true" outlineLevel="0" collapsed="false">
      <c r="A30" s="79" t="s">
        <v>499</v>
      </c>
      <c r="B30" s="80" t="s">
        <v>509</v>
      </c>
      <c r="C30" s="80" t="s">
        <v>510</v>
      </c>
      <c r="D30" s="80" t="s">
        <v>510</v>
      </c>
      <c r="E30" s="81" t="s">
        <v>386</v>
      </c>
      <c r="F30" s="80" t="s">
        <v>268</v>
      </c>
      <c r="G30" s="80" t="s">
        <v>442</v>
      </c>
      <c r="H30" s="80" t="s">
        <v>511</v>
      </c>
      <c r="I30" s="80" t="s">
        <v>512</v>
      </c>
    </row>
    <row r="31" customFormat="false" ht="23.25" hidden="false" customHeight="true" outlineLevel="0" collapsed="false">
      <c r="A31" s="75" t="s">
        <v>513</v>
      </c>
      <c r="B31" s="76" t="s">
        <v>514</v>
      </c>
      <c r="C31" s="76" t="s">
        <v>515</v>
      </c>
      <c r="D31" s="76" t="s">
        <v>516</v>
      </c>
      <c r="E31" s="82" t="s">
        <v>441</v>
      </c>
      <c r="F31" s="76" t="s">
        <v>268</v>
      </c>
      <c r="G31" s="78" t="s">
        <v>387</v>
      </c>
      <c r="H31" s="76" t="s">
        <v>517</v>
      </c>
      <c r="I31" s="76" t="s">
        <v>518</v>
      </c>
    </row>
    <row r="32" customFormat="false" ht="23.25" hidden="false" customHeight="true" outlineLevel="0" collapsed="false">
      <c r="A32" s="79" t="s">
        <v>513</v>
      </c>
      <c r="B32" s="80" t="s">
        <v>519</v>
      </c>
      <c r="C32" s="80" t="s">
        <v>520</v>
      </c>
      <c r="D32" s="80" t="s">
        <v>424</v>
      </c>
      <c r="E32" s="85" t="s">
        <v>441</v>
      </c>
      <c r="F32" s="80" t="s">
        <v>278</v>
      </c>
      <c r="G32" s="78" t="s">
        <v>387</v>
      </c>
      <c r="H32" s="80" t="s">
        <v>521</v>
      </c>
      <c r="I32" s="80" t="s">
        <v>522</v>
      </c>
    </row>
    <row r="33" customFormat="false" ht="23.25" hidden="false" customHeight="true" outlineLevel="0" collapsed="false">
      <c r="A33" s="75" t="s">
        <v>513</v>
      </c>
      <c r="B33" s="76" t="s">
        <v>523</v>
      </c>
      <c r="C33" s="76" t="s">
        <v>524</v>
      </c>
      <c r="D33" s="76" t="s">
        <v>525</v>
      </c>
      <c r="E33" s="77" t="s">
        <v>386</v>
      </c>
      <c r="F33" s="76" t="s">
        <v>268</v>
      </c>
      <c r="G33" s="78" t="s">
        <v>387</v>
      </c>
      <c r="H33" s="76" t="s">
        <v>526</v>
      </c>
      <c r="I33" s="76" t="s">
        <v>527</v>
      </c>
    </row>
    <row r="34" customFormat="false" ht="23.25" hidden="false" customHeight="true" outlineLevel="0" collapsed="false">
      <c r="A34" s="79" t="s">
        <v>528</v>
      </c>
      <c r="B34" s="80" t="s">
        <v>529</v>
      </c>
      <c r="C34" s="80" t="s">
        <v>530</v>
      </c>
      <c r="D34" s="80" t="s">
        <v>531</v>
      </c>
      <c r="E34" s="81" t="s">
        <v>386</v>
      </c>
      <c r="F34" s="80" t="s">
        <v>278</v>
      </c>
      <c r="G34" s="78" t="s">
        <v>387</v>
      </c>
      <c r="H34" s="80" t="s">
        <v>532</v>
      </c>
      <c r="I34" s="80" t="s">
        <v>533</v>
      </c>
    </row>
    <row r="35" customFormat="false" ht="23.25" hidden="false" customHeight="true" outlineLevel="0" collapsed="false">
      <c r="A35" s="75" t="s">
        <v>528</v>
      </c>
      <c r="B35" s="76" t="s">
        <v>534</v>
      </c>
      <c r="C35" s="76" t="s">
        <v>535</v>
      </c>
      <c r="D35" s="76" t="s">
        <v>536</v>
      </c>
      <c r="E35" s="77" t="s">
        <v>386</v>
      </c>
      <c r="F35" s="76" t="s">
        <v>268</v>
      </c>
      <c r="G35" s="78" t="s">
        <v>387</v>
      </c>
      <c r="H35" s="76" t="s">
        <v>537</v>
      </c>
      <c r="I35" s="76" t="s">
        <v>538</v>
      </c>
    </row>
    <row r="36" customFormat="false" ht="23.25" hidden="false" customHeight="true" outlineLevel="0" collapsed="false">
      <c r="A36" s="79" t="s">
        <v>528</v>
      </c>
      <c r="B36" s="80" t="s">
        <v>539</v>
      </c>
      <c r="C36" s="80" t="s">
        <v>540</v>
      </c>
      <c r="D36" s="80" t="s">
        <v>541</v>
      </c>
      <c r="E36" s="81" t="s">
        <v>386</v>
      </c>
      <c r="F36" s="80" t="s">
        <v>268</v>
      </c>
      <c r="G36" s="78" t="s">
        <v>387</v>
      </c>
      <c r="H36" s="80" t="s">
        <v>542</v>
      </c>
      <c r="I36" s="80" t="s">
        <v>543</v>
      </c>
    </row>
    <row r="37" customFormat="false" ht="23.25" hidden="false" customHeight="true" outlineLevel="0" collapsed="false">
      <c r="A37" s="75" t="s">
        <v>544</v>
      </c>
      <c r="B37" s="76" t="s">
        <v>545</v>
      </c>
      <c r="C37" s="76" t="s">
        <v>546</v>
      </c>
      <c r="D37" s="76" t="s">
        <v>547</v>
      </c>
      <c r="E37" s="77" t="s">
        <v>386</v>
      </c>
      <c r="F37" s="76" t="s">
        <v>278</v>
      </c>
      <c r="G37" s="78" t="s">
        <v>387</v>
      </c>
      <c r="H37" s="76" t="s">
        <v>548</v>
      </c>
      <c r="I37" s="76" t="s">
        <v>549</v>
      </c>
    </row>
    <row r="38" customFormat="false" ht="23.25" hidden="false" customHeight="true" outlineLevel="0" collapsed="false">
      <c r="A38" s="79" t="s">
        <v>544</v>
      </c>
      <c r="B38" s="80" t="s">
        <v>550</v>
      </c>
      <c r="C38" s="80" t="s">
        <v>551</v>
      </c>
      <c r="D38" s="80" t="s">
        <v>552</v>
      </c>
      <c r="E38" s="85" t="s">
        <v>441</v>
      </c>
      <c r="F38" s="80" t="s">
        <v>268</v>
      </c>
      <c r="G38" s="78" t="s">
        <v>387</v>
      </c>
      <c r="H38" s="80" t="s">
        <v>553</v>
      </c>
      <c r="I38" s="80" t="s">
        <v>554</v>
      </c>
    </row>
    <row r="39" customFormat="false" ht="23.25" hidden="false" customHeight="true" outlineLevel="0" collapsed="false">
      <c r="A39" s="75" t="s">
        <v>544</v>
      </c>
      <c r="B39" s="76" t="s">
        <v>555</v>
      </c>
      <c r="C39" s="76" t="s">
        <v>556</v>
      </c>
      <c r="D39" s="76" t="s">
        <v>557</v>
      </c>
      <c r="E39" s="77" t="s">
        <v>386</v>
      </c>
      <c r="F39" s="76" t="s">
        <v>278</v>
      </c>
      <c r="G39" s="78" t="s">
        <v>387</v>
      </c>
      <c r="H39" s="76" t="s">
        <v>558</v>
      </c>
      <c r="I39" s="76" t="s">
        <v>559</v>
      </c>
    </row>
    <row r="40" customFormat="false" ht="15" hidden="false" customHeight="false" outlineLevel="0" collapsed="false"/>
    <row r="41" customFormat="false" ht="15" hidden="false" customHeight="false" outlineLevel="0" collapsed="false"/>
    <row r="42" customFormat="false" ht="27.75" hidden="false" customHeight="true" outlineLevel="0" collapsed="false">
      <c r="A42" s="73" t="s">
        <v>560</v>
      </c>
      <c r="B42" s="73"/>
      <c r="C42" s="73"/>
      <c r="D42" s="73"/>
      <c r="E42" s="73"/>
      <c r="F42" s="73"/>
      <c r="G42" s="73"/>
      <c r="H42" s="73"/>
      <c r="I42" s="73"/>
    </row>
    <row r="43" customFormat="false" ht="26.25" hidden="false" customHeight="true" outlineLevel="0" collapsed="false">
      <c r="A43" s="74" t="s">
        <v>561</v>
      </c>
      <c r="B43" s="74" t="s">
        <v>562</v>
      </c>
      <c r="C43" s="74" t="s">
        <v>563</v>
      </c>
      <c r="D43" s="74" t="s">
        <v>564</v>
      </c>
      <c r="E43" s="74" t="s">
        <v>565</v>
      </c>
      <c r="F43" s="74" t="s">
        <v>221</v>
      </c>
      <c r="G43" s="74" t="s">
        <v>566</v>
      </c>
      <c r="H43" s="74" t="s">
        <v>567</v>
      </c>
      <c r="I43" s="74" t="s">
        <v>568</v>
      </c>
    </row>
    <row r="44" customFormat="false" ht="23.25" hidden="false" customHeight="true" outlineLevel="0" collapsed="false">
      <c r="A44" s="79" t="s">
        <v>569</v>
      </c>
      <c r="B44" s="80" t="s">
        <v>570</v>
      </c>
      <c r="C44" s="80" t="s">
        <v>571</v>
      </c>
      <c r="D44" s="80" t="s">
        <v>572</v>
      </c>
      <c r="E44" s="86" t="n">
        <v>8</v>
      </c>
      <c r="F44" s="87" t="n">
        <v>0.3</v>
      </c>
      <c r="G44" s="88" t="n">
        <f aca="false">E44*F44</f>
        <v>2.4</v>
      </c>
      <c r="H44" s="80" t="s">
        <v>573</v>
      </c>
      <c r="I44" s="81" t="s">
        <v>574</v>
      </c>
    </row>
    <row r="45" customFormat="false" ht="23.25" hidden="false" customHeight="true" outlineLevel="0" collapsed="false">
      <c r="A45" s="79" t="s">
        <v>575</v>
      </c>
      <c r="B45" s="80" t="s">
        <v>576</v>
      </c>
      <c r="C45" s="80" t="s">
        <v>577</v>
      </c>
      <c r="D45" s="80" t="s">
        <v>578</v>
      </c>
      <c r="E45" s="86" t="n">
        <v>15</v>
      </c>
      <c r="F45" s="87" t="n">
        <v>0.55</v>
      </c>
      <c r="G45" s="88" t="n">
        <f aca="false">E45*F45</f>
        <v>8.25</v>
      </c>
      <c r="H45" s="80" t="s">
        <v>579</v>
      </c>
      <c r="I45" s="81" t="s">
        <v>574</v>
      </c>
    </row>
    <row r="46" customFormat="false" ht="23.25" hidden="false" customHeight="true" outlineLevel="0" collapsed="false">
      <c r="A46" s="79" t="s">
        <v>580</v>
      </c>
      <c r="B46" s="80" t="s">
        <v>581</v>
      </c>
      <c r="C46" s="80" t="s">
        <v>582</v>
      </c>
      <c r="D46" s="80" t="s">
        <v>583</v>
      </c>
      <c r="E46" s="86" t="n">
        <v>4.2</v>
      </c>
      <c r="F46" s="87" t="n">
        <v>0.65</v>
      </c>
      <c r="G46" s="88" t="n">
        <f aca="false">E46*F46</f>
        <v>2.73</v>
      </c>
      <c r="H46" s="80" t="s">
        <v>584</v>
      </c>
      <c r="I46" s="81" t="s">
        <v>585</v>
      </c>
    </row>
    <row r="47" customFormat="false" ht="23.25" hidden="false" customHeight="true" outlineLevel="0" collapsed="false">
      <c r="A47" s="79" t="s">
        <v>586</v>
      </c>
      <c r="B47" s="80" t="s">
        <v>587</v>
      </c>
      <c r="C47" s="80" t="s">
        <v>588</v>
      </c>
      <c r="D47" s="80" t="s">
        <v>589</v>
      </c>
      <c r="E47" s="86" t="n">
        <v>2.5</v>
      </c>
      <c r="F47" s="87" t="n">
        <v>0.5</v>
      </c>
      <c r="G47" s="88" t="n">
        <f aca="false">E47*F47</f>
        <v>1.25</v>
      </c>
      <c r="H47" s="80" t="s">
        <v>590</v>
      </c>
      <c r="I47" s="81" t="s">
        <v>585</v>
      </c>
    </row>
    <row r="48" customFormat="false" ht="23.25" hidden="false" customHeight="true" outlineLevel="0" collapsed="false">
      <c r="A48" s="79" t="s">
        <v>591</v>
      </c>
      <c r="B48" s="80" t="s">
        <v>592</v>
      </c>
      <c r="C48" s="80" t="s">
        <v>593</v>
      </c>
      <c r="D48" s="80" t="s">
        <v>594</v>
      </c>
      <c r="E48" s="86" t="n">
        <v>-6</v>
      </c>
      <c r="F48" s="87" t="n">
        <v>0.45</v>
      </c>
      <c r="G48" s="88" t="n">
        <f aca="false">E48*F48</f>
        <v>-2.7</v>
      </c>
      <c r="H48" s="80" t="s">
        <v>595</v>
      </c>
      <c r="I48" s="85" t="s">
        <v>596</v>
      </c>
    </row>
    <row r="49" customFormat="false" ht="23.25" hidden="false" customHeight="true" outlineLevel="0" collapsed="false">
      <c r="A49" s="79" t="s">
        <v>597</v>
      </c>
      <c r="B49" s="80" t="s">
        <v>598</v>
      </c>
      <c r="C49" s="80" t="s">
        <v>599</v>
      </c>
      <c r="D49" s="80" t="s">
        <v>600</v>
      </c>
      <c r="E49" s="86" t="n">
        <v>-5</v>
      </c>
      <c r="F49" s="87" t="n">
        <v>0.6</v>
      </c>
      <c r="G49" s="88" t="n">
        <f aca="false">E49*F49</f>
        <v>-3</v>
      </c>
      <c r="H49" s="80" t="s">
        <v>601</v>
      </c>
      <c r="I49" s="85" t="s">
        <v>602</v>
      </c>
    </row>
    <row r="50" customFormat="false" ht="23.25" hidden="false" customHeight="true" outlineLevel="0" collapsed="false">
      <c r="A50" s="79" t="s">
        <v>603</v>
      </c>
      <c r="B50" s="80" t="s">
        <v>604</v>
      </c>
      <c r="C50" s="80" t="s">
        <v>605</v>
      </c>
      <c r="D50" s="80" t="s">
        <v>606</v>
      </c>
      <c r="E50" s="86" t="n">
        <v>12</v>
      </c>
      <c r="F50" s="87" t="n">
        <v>0.15</v>
      </c>
      <c r="G50" s="88" t="n">
        <f aca="false">E50*F50</f>
        <v>1.8</v>
      </c>
      <c r="H50" s="80" t="s">
        <v>607</v>
      </c>
      <c r="I50" s="81" t="s">
        <v>608</v>
      </c>
    </row>
    <row r="51" customFormat="false" ht="23.25" hidden="false" customHeight="true" outlineLevel="0" collapsed="false">
      <c r="A51" s="79" t="s">
        <v>609</v>
      </c>
      <c r="B51" s="80" t="s">
        <v>610</v>
      </c>
      <c r="C51" s="80" t="s">
        <v>611</v>
      </c>
      <c r="D51" s="80" t="s">
        <v>612</v>
      </c>
      <c r="E51" s="86" t="n">
        <v>3.5</v>
      </c>
      <c r="F51" s="87" t="n">
        <v>0.4</v>
      </c>
      <c r="G51" s="88" t="n">
        <f aca="false">E51*F51</f>
        <v>1.4</v>
      </c>
      <c r="H51" s="80" t="s">
        <v>595</v>
      </c>
      <c r="I51" s="81" t="s">
        <v>585</v>
      </c>
    </row>
    <row r="52" customFormat="false" ht="23.25" hidden="false" customHeight="true" outlineLevel="0" collapsed="false">
      <c r="A52" s="79" t="s">
        <v>613</v>
      </c>
      <c r="B52" s="80" t="s">
        <v>614</v>
      </c>
      <c r="C52" s="80" t="s">
        <v>615</v>
      </c>
      <c r="D52" s="80" t="s">
        <v>616</v>
      </c>
      <c r="E52" s="86" t="n">
        <v>-1.5</v>
      </c>
      <c r="F52" s="87" t="n">
        <v>0.35</v>
      </c>
      <c r="G52" s="88" t="n">
        <f aca="false">E52*F52</f>
        <v>-0.525</v>
      </c>
      <c r="H52" s="80" t="s">
        <v>617</v>
      </c>
      <c r="I52" s="85" t="s">
        <v>602</v>
      </c>
    </row>
    <row r="53" customFormat="false" ht="23.25" hidden="false" customHeight="true" outlineLevel="0" collapsed="false">
      <c r="A53" s="79" t="s">
        <v>618</v>
      </c>
      <c r="B53" s="80" t="s">
        <v>619</v>
      </c>
      <c r="C53" s="80" t="s">
        <v>620</v>
      </c>
      <c r="D53" s="80" t="s">
        <v>621</v>
      </c>
      <c r="E53" s="86" t="n">
        <v>20</v>
      </c>
      <c r="F53" s="87" t="n">
        <v>0.2</v>
      </c>
      <c r="G53" s="88" t="n">
        <f aca="false">E53*F53</f>
        <v>4</v>
      </c>
      <c r="H53" s="80" t="s">
        <v>617</v>
      </c>
      <c r="I53" s="81" t="s">
        <v>574</v>
      </c>
    </row>
    <row r="54" customFormat="false" ht="15" hidden="false" customHeight="true" outlineLevel="0" collapsed="false">
      <c r="A54" s="89" t="s">
        <v>622</v>
      </c>
      <c r="B54" s="90"/>
      <c r="C54" s="90"/>
      <c r="D54" s="90"/>
      <c r="E54" s="90"/>
      <c r="F54" s="90"/>
      <c r="G54" s="91" t="n">
        <f aca="false">SUM(G44:G53)</f>
        <v>15.605</v>
      </c>
      <c r="H54" s="90"/>
      <c r="I54" s="90"/>
    </row>
    <row r="55" customFormat="false" ht="15" hidden="false" customHeight="false" outlineLevel="0" collapsed="false"/>
    <row r="56" customFormat="false" ht="15" hidden="false" customHeight="false" outlineLevel="0" collapsed="false"/>
    <row r="57" customFormat="false" ht="15" hidden="false" customHeight="true" outlineLevel="0" collapsed="false">
      <c r="A57" s="73" t="s">
        <v>623</v>
      </c>
      <c r="B57" s="73"/>
      <c r="C57" s="73"/>
      <c r="D57" s="73"/>
      <c r="E57" s="73"/>
      <c r="F57" s="73"/>
      <c r="G57" s="73"/>
      <c r="H57" s="73"/>
      <c r="I57" s="73"/>
    </row>
    <row r="58" customFormat="false" ht="26.25" hidden="false" customHeight="true" outlineLevel="0" collapsed="false">
      <c r="A58" s="74" t="s">
        <v>624</v>
      </c>
      <c r="B58" s="74" t="s">
        <v>625</v>
      </c>
      <c r="C58" s="74" t="s">
        <v>626</v>
      </c>
      <c r="D58" s="74" t="s">
        <v>627</v>
      </c>
      <c r="E58" s="74" t="s">
        <v>628</v>
      </c>
      <c r="F58" s="74" t="s">
        <v>629</v>
      </c>
    </row>
    <row r="59" customFormat="false" ht="45.75" hidden="false" customHeight="true" outlineLevel="0" collapsed="false">
      <c r="A59" s="92" t="s">
        <v>630</v>
      </c>
      <c r="B59" s="93" t="s">
        <v>631</v>
      </c>
      <c r="C59" s="93" t="s">
        <v>632</v>
      </c>
      <c r="D59" s="94" t="s">
        <v>268</v>
      </c>
      <c r="E59" s="93" t="s">
        <v>633</v>
      </c>
      <c r="F59" s="93" t="s">
        <v>634</v>
      </c>
    </row>
    <row r="60" customFormat="false" ht="57" hidden="false" customHeight="true" outlineLevel="0" collapsed="false">
      <c r="A60" s="95" t="s">
        <v>635</v>
      </c>
      <c r="B60" s="80" t="s">
        <v>636</v>
      </c>
      <c r="C60" s="80" t="s">
        <v>637</v>
      </c>
      <c r="D60" s="81" t="s">
        <v>268</v>
      </c>
      <c r="E60" s="80" t="s">
        <v>638</v>
      </c>
      <c r="F60" s="80" t="s">
        <v>639</v>
      </c>
    </row>
    <row r="61" customFormat="false" ht="45.75" hidden="false" customHeight="true" outlineLevel="0" collapsed="false">
      <c r="A61" s="92" t="s">
        <v>640</v>
      </c>
      <c r="B61" s="93" t="s">
        <v>641</v>
      </c>
      <c r="C61" s="93" t="s">
        <v>642</v>
      </c>
      <c r="D61" s="96" t="s">
        <v>278</v>
      </c>
      <c r="E61" s="93" t="s">
        <v>643</v>
      </c>
      <c r="F61" s="93" t="s">
        <v>644</v>
      </c>
    </row>
    <row r="62" customFormat="false" ht="45.75" hidden="false" customHeight="true" outlineLevel="0" collapsed="false">
      <c r="A62" s="95" t="s">
        <v>645</v>
      </c>
      <c r="B62" s="80" t="s">
        <v>646</v>
      </c>
      <c r="C62" s="80" t="s">
        <v>647</v>
      </c>
      <c r="D62" s="84" t="s">
        <v>278</v>
      </c>
      <c r="E62" s="80" t="s">
        <v>648</v>
      </c>
      <c r="F62" s="80" t="s">
        <v>649</v>
      </c>
    </row>
    <row r="63" customFormat="false" ht="45.75" hidden="false" customHeight="true" outlineLevel="0" collapsed="false">
      <c r="A63" s="92" t="s">
        <v>650</v>
      </c>
      <c r="B63" s="93" t="s">
        <v>651</v>
      </c>
      <c r="C63" s="93" t="s">
        <v>652</v>
      </c>
      <c r="D63" s="94" t="s">
        <v>268</v>
      </c>
      <c r="E63" s="93" t="s">
        <v>653</v>
      </c>
      <c r="F63" s="93" t="s">
        <v>654</v>
      </c>
    </row>
    <row r="64" customFormat="false" ht="45.75" hidden="false" customHeight="true" outlineLevel="0" collapsed="false">
      <c r="A64" s="95" t="s">
        <v>655</v>
      </c>
      <c r="B64" s="80" t="s">
        <v>656</v>
      </c>
      <c r="C64" s="80" t="s">
        <v>657</v>
      </c>
      <c r="D64" s="84" t="s">
        <v>278</v>
      </c>
      <c r="E64" s="80" t="s">
        <v>658</v>
      </c>
      <c r="F64" s="80" t="s">
        <v>659</v>
      </c>
    </row>
    <row r="65" customFormat="false" ht="45.75" hidden="false" customHeight="true" outlineLevel="0" collapsed="false">
      <c r="A65" s="92" t="s">
        <v>660</v>
      </c>
      <c r="B65" s="93" t="s">
        <v>661</v>
      </c>
      <c r="C65" s="93" t="s">
        <v>662</v>
      </c>
      <c r="D65" s="94" t="s">
        <v>268</v>
      </c>
      <c r="E65" s="93" t="s">
        <v>663</v>
      </c>
      <c r="F65" s="93" t="s">
        <v>664</v>
      </c>
    </row>
    <row r="66" customFormat="false" ht="45.75" hidden="false" customHeight="true" outlineLevel="0" collapsed="false">
      <c r="A66" s="95" t="s">
        <v>665</v>
      </c>
      <c r="B66" s="80" t="s">
        <v>666</v>
      </c>
      <c r="C66" s="80" t="s">
        <v>667</v>
      </c>
      <c r="D66" s="84" t="s">
        <v>278</v>
      </c>
      <c r="E66" s="80" t="s">
        <v>668</v>
      </c>
      <c r="F66" s="80" t="s">
        <v>669</v>
      </c>
    </row>
    <row r="67" customFormat="false" ht="15" hidden="false" customHeight="false" outlineLevel="0" collapsed="false"/>
    <row r="68" customFormat="false" ht="15" hidden="false" customHeight="false" outlineLevel="0" collapsed="false"/>
    <row r="69" customFormat="false" ht="15" hidden="false" customHeight="true" outlineLevel="0" collapsed="false">
      <c r="A69" s="73" t="s">
        <v>670</v>
      </c>
      <c r="B69" s="73"/>
      <c r="C69" s="73"/>
      <c r="D69" s="73"/>
      <c r="E69" s="73"/>
      <c r="F69" s="73"/>
      <c r="G69" s="73"/>
      <c r="H69" s="73"/>
      <c r="I69" s="73"/>
    </row>
    <row r="70" customFormat="false" ht="26.25" hidden="false" customHeight="true" outlineLevel="0" collapsed="false">
      <c r="A70" s="74" t="s">
        <v>671</v>
      </c>
      <c r="B70" s="74" t="s">
        <v>672</v>
      </c>
      <c r="C70" s="74" t="s">
        <v>673</v>
      </c>
      <c r="D70" s="74" t="s">
        <v>674</v>
      </c>
      <c r="E70" s="74" t="s">
        <v>675</v>
      </c>
      <c r="F70" s="74" t="s">
        <v>676</v>
      </c>
    </row>
    <row r="71" customFormat="false" ht="23.25" hidden="false" customHeight="true" outlineLevel="0" collapsed="false">
      <c r="A71" s="75" t="s">
        <v>677</v>
      </c>
      <c r="B71" s="97" t="n">
        <v>9</v>
      </c>
      <c r="C71" s="97" t="n">
        <v>9</v>
      </c>
      <c r="D71" s="97" t="n">
        <v>8</v>
      </c>
      <c r="E71" s="98" t="n">
        <v>9</v>
      </c>
      <c r="F71" s="83" t="s">
        <v>678</v>
      </c>
    </row>
    <row r="72" customFormat="false" ht="34.5" hidden="false" customHeight="true" outlineLevel="0" collapsed="false">
      <c r="A72" s="79" t="s">
        <v>679</v>
      </c>
      <c r="B72" s="99" t="n">
        <v>3</v>
      </c>
      <c r="C72" s="100" t="n">
        <v>4</v>
      </c>
      <c r="D72" s="100" t="n">
        <v>5</v>
      </c>
      <c r="E72" s="98" t="n">
        <v>9</v>
      </c>
      <c r="F72" s="101" t="s">
        <v>680</v>
      </c>
    </row>
    <row r="73" customFormat="false" ht="34.5" hidden="false" customHeight="true" outlineLevel="0" collapsed="false">
      <c r="A73" s="75" t="s">
        <v>681</v>
      </c>
      <c r="B73" s="99" t="n">
        <v>2</v>
      </c>
      <c r="C73" s="99" t="n">
        <v>3</v>
      </c>
      <c r="D73" s="102" t="n">
        <v>7</v>
      </c>
      <c r="E73" s="98" t="n">
        <v>9</v>
      </c>
      <c r="F73" s="101" t="s">
        <v>682</v>
      </c>
    </row>
    <row r="74" customFormat="false" ht="34.5" hidden="false" customHeight="true" outlineLevel="0" collapsed="false">
      <c r="A74" s="79" t="s">
        <v>683</v>
      </c>
      <c r="B74" s="100" t="n">
        <v>4</v>
      </c>
      <c r="C74" s="100" t="n">
        <v>5</v>
      </c>
      <c r="D74" s="100" t="n">
        <v>6</v>
      </c>
      <c r="E74" s="98" t="n">
        <v>9</v>
      </c>
      <c r="F74" s="103" t="s">
        <v>684</v>
      </c>
    </row>
    <row r="75" customFormat="false" ht="34.5" hidden="false" customHeight="true" outlineLevel="0" collapsed="false">
      <c r="A75" s="75" t="s">
        <v>685</v>
      </c>
      <c r="B75" s="99" t="n">
        <v>2</v>
      </c>
      <c r="C75" s="99" t="n">
        <v>1</v>
      </c>
      <c r="D75" s="99" t="n">
        <v>3</v>
      </c>
      <c r="E75" s="98" t="n">
        <v>8</v>
      </c>
      <c r="F75" s="92" t="s">
        <v>686</v>
      </c>
    </row>
    <row r="76" customFormat="false" ht="23.25" hidden="false" customHeight="true" outlineLevel="0" collapsed="false">
      <c r="A76" s="79" t="s">
        <v>687</v>
      </c>
      <c r="B76" s="99" t="n">
        <v>3</v>
      </c>
      <c r="C76" s="99" t="n">
        <v>2</v>
      </c>
      <c r="D76" s="100" t="n">
        <v>4</v>
      </c>
      <c r="E76" s="98" t="n">
        <v>8</v>
      </c>
      <c r="F76" s="101" t="s">
        <v>688</v>
      </c>
    </row>
    <row r="77" customFormat="false" ht="34.5" hidden="false" customHeight="true" outlineLevel="0" collapsed="false">
      <c r="A77" s="75" t="s">
        <v>689</v>
      </c>
      <c r="B77" s="97" t="n">
        <v>8</v>
      </c>
      <c r="C77" s="102" t="n">
        <v>5</v>
      </c>
      <c r="D77" s="102" t="n">
        <v>6</v>
      </c>
      <c r="E77" s="98" t="n">
        <v>8</v>
      </c>
      <c r="F77" s="83" t="s">
        <v>690</v>
      </c>
    </row>
    <row r="78" customFormat="false" ht="34.5" hidden="false" customHeight="true" outlineLevel="0" collapsed="false">
      <c r="A78" s="79" t="s">
        <v>691</v>
      </c>
      <c r="B78" s="99" t="n">
        <v>1</v>
      </c>
      <c r="C78" s="99" t="n">
        <v>1</v>
      </c>
      <c r="D78" s="100" t="n">
        <v>5</v>
      </c>
      <c r="E78" s="98" t="n">
        <v>9</v>
      </c>
      <c r="F78" s="92" t="s">
        <v>692</v>
      </c>
    </row>
    <row r="79" customFormat="false" ht="45.75" hidden="false" customHeight="true" outlineLevel="0" collapsed="false">
      <c r="A79" s="75" t="s">
        <v>693</v>
      </c>
      <c r="B79" s="99" t="n">
        <v>0</v>
      </c>
      <c r="C79" s="99" t="n">
        <v>0</v>
      </c>
      <c r="D79" s="99" t="n">
        <v>2</v>
      </c>
      <c r="E79" s="98" t="n">
        <v>9</v>
      </c>
      <c r="F79" s="92" t="s">
        <v>694</v>
      </c>
    </row>
    <row r="80" customFormat="false" ht="34.5" hidden="false" customHeight="true" outlineLevel="0" collapsed="false">
      <c r="A80" s="79" t="s">
        <v>695</v>
      </c>
      <c r="B80" s="99" t="n">
        <v>1</v>
      </c>
      <c r="C80" s="99" t="n">
        <v>2</v>
      </c>
      <c r="D80" s="100" t="n">
        <v>4</v>
      </c>
      <c r="E80" s="98" t="n">
        <v>9</v>
      </c>
      <c r="F80" s="92" t="s">
        <v>696</v>
      </c>
    </row>
    <row r="81" customFormat="false" ht="45.75" hidden="false" customHeight="true" outlineLevel="0" collapsed="false">
      <c r="A81" s="75" t="s">
        <v>697</v>
      </c>
      <c r="B81" s="99" t="n">
        <v>0</v>
      </c>
      <c r="C81" s="99" t="n">
        <v>0</v>
      </c>
      <c r="D81" s="99" t="n">
        <v>3</v>
      </c>
      <c r="E81" s="98" t="n">
        <v>8</v>
      </c>
      <c r="F81" s="92" t="s">
        <v>698</v>
      </c>
    </row>
    <row r="82" customFormat="false" ht="45.75" hidden="false" customHeight="true" outlineLevel="0" collapsed="false">
      <c r="A82" s="79" t="s">
        <v>699</v>
      </c>
      <c r="B82" s="99" t="n">
        <v>0</v>
      </c>
      <c r="C82" s="99" t="n">
        <v>0</v>
      </c>
      <c r="D82" s="100" t="n">
        <v>4</v>
      </c>
      <c r="E82" s="98" t="n">
        <v>9</v>
      </c>
      <c r="F82" s="92" t="s">
        <v>700</v>
      </c>
    </row>
    <row r="83" customFormat="false" ht="45.75" hidden="false" customHeight="true" outlineLevel="0" collapsed="false">
      <c r="A83" s="75" t="s">
        <v>701</v>
      </c>
      <c r="B83" s="99" t="n">
        <v>0</v>
      </c>
      <c r="C83" s="99" t="n">
        <v>0</v>
      </c>
      <c r="D83" s="99" t="n">
        <v>3</v>
      </c>
      <c r="E83" s="98" t="n">
        <v>9</v>
      </c>
      <c r="F83" s="92" t="s">
        <v>702</v>
      </c>
    </row>
    <row r="84" customFormat="false" ht="34.5" hidden="false" customHeight="true" outlineLevel="0" collapsed="false">
      <c r="A84" s="79" t="s">
        <v>703</v>
      </c>
      <c r="B84" s="99" t="n">
        <v>3</v>
      </c>
      <c r="C84" s="100" t="n">
        <v>4</v>
      </c>
      <c r="D84" s="100" t="n">
        <v>5</v>
      </c>
      <c r="E84" s="98" t="n">
        <v>8</v>
      </c>
      <c r="F84" s="103" t="s">
        <v>704</v>
      </c>
    </row>
    <row r="85" customFormat="false" ht="34.5" hidden="false" customHeight="true" outlineLevel="0" collapsed="false">
      <c r="A85" s="75" t="s">
        <v>705</v>
      </c>
      <c r="B85" s="99" t="n">
        <v>1</v>
      </c>
      <c r="C85" s="99" t="n">
        <v>1</v>
      </c>
      <c r="D85" s="102" t="n">
        <v>6</v>
      </c>
      <c r="E85" s="98" t="n">
        <v>8</v>
      </c>
      <c r="F85" s="101" t="s">
        <v>706</v>
      </c>
    </row>
    <row r="86" customFormat="false" ht="34.5" hidden="false" customHeight="true" outlineLevel="0" collapsed="false">
      <c r="A86" s="79" t="s">
        <v>707</v>
      </c>
      <c r="B86" s="99" t="n">
        <v>1</v>
      </c>
      <c r="C86" s="99" t="n">
        <v>0</v>
      </c>
      <c r="D86" s="99" t="n">
        <v>3</v>
      </c>
      <c r="E86" s="98" t="n">
        <v>8</v>
      </c>
      <c r="F86" s="92" t="s">
        <v>708</v>
      </c>
    </row>
    <row r="87" customFormat="false" ht="15" hidden="false" customHeight="true" outlineLevel="0" collapsed="false">
      <c r="A87" s="104" t="s">
        <v>709</v>
      </c>
      <c r="B87" s="105" t="n">
        <f aca="false">AVERAGE(B71:B86)</f>
        <v>2.375</v>
      </c>
      <c r="C87" s="105" t="n">
        <f aca="false">AVERAGE(C71:C86)</f>
        <v>2.3125</v>
      </c>
      <c r="D87" s="105" t="n">
        <f aca="false">AVERAGE(D71:D86)</f>
        <v>4.625</v>
      </c>
      <c r="E87" s="105" t="n">
        <f aca="false">AVERAGE(E71:E86)</f>
        <v>8.5625</v>
      </c>
      <c r="F87" s="90"/>
    </row>
    <row r="88" customFormat="false" ht="15" hidden="false" customHeight="false" outlineLevel="0" collapsed="false"/>
    <row r="89" customFormat="false" ht="15" hidden="false" customHeight="false" outlineLevel="0" collapsed="false"/>
    <row r="90" customFormat="false" ht="15" hidden="false" customHeight="true" outlineLevel="0" collapsed="false">
      <c r="A90" s="73" t="s">
        <v>710</v>
      </c>
      <c r="B90" s="73"/>
      <c r="C90" s="73"/>
      <c r="D90" s="73"/>
      <c r="E90" s="73"/>
      <c r="F90" s="73"/>
      <c r="G90" s="73"/>
      <c r="H90" s="73"/>
      <c r="I90" s="73"/>
    </row>
    <row r="91" customFormat="false" ht="26.25" hidden="false" customHeight="true" outlineLevel="0" collapsed="false">
      <c r="A91" s="74" t="s">
        <v>711</v>
      </c>
      <c r="B91" s="74" t="s">
        <v>712</v>
      </c>
      <c r="C91" s="74" t="s">
        <v>713</v>
      </c>
      <c r="D91" s="74" t="s">
        <v>221</v>
      </c>
      <c r="E91" s="74" t="s">
        <v>714</v>
      </c>
      <c r="F91" s="74" t="s">
        <v>715</v>
      </c>
      <c r="G91" s="74" t="s">
        <v>716</v>
      </c>
    </row>
    <row r="92" customFormat="false" ht="34.5" hidden="false" customHeight="true" outlineLevel="0" collapsed="false">
      <c r="A92" s="79" t="s">
        <v>330</v>
      </c>
      <c r="B92" s="80" t="s">
        <v>717</v>
      </c>
      <c r="C92" s="81" t="s">
        <v>718</v>
      </c>
      <c r="D92" s="87" t="n">
        <v>0.45</v>
      </c>
      <c r="E92" s="80" t="s">
        <v>719</v>
      </c>
      <c r="F92" s="78" t="s">
        <v>387</v>
      </c>
      <c r="G92" s="80" t="s">
        <v>720</v>
      </c>
    </row>
    <row r="93" customFormat="false" ht="23.25" hidden="false" customHeight="true" outlineLevel="0" collapsed="false">
      <c r="A93" s="79" t="s">
        <v>333</v>
      </c>
      <c r="B93" s="80" t="s">
        <v>721</v>
      </c>
      <c r="C93" s="81" t="s">
        <v>718</v>
      </c>
      <c r="D93" s="87" t="n">
        <v>0.35</v>
      </c>
      <c r="E93" s="80" t="s">
        <v>722</v>
      </c>
      <c r="F93" s="80" t="s">
        <v>442</v>
      </c>
      <c r="G93" s="80" t="s">
        <v>723</v>
      </c>
    </row>
    <row r="94" customFormat="false" ht="23.25" hidden="false" customHeight="true" outlineLevel="0" collapsed="false">
      <c r="A94" s="79" t="s">
        <v>333</v>
      </c>
      <c r="B94" s="80" t="s">
        <v>724</v>
      </c>
      <c r="C94" s="81" t="s">
        <v>725</v>
      </c>
      <c r="D94" s="87" t="n">
        <v>0.6</v>
      </c>
      <c r="E94" s="80" t="s">
        <v>726</v>
      </c>
      <c r="F94" s="78" t="s">
        <v>387</v>
      </c>
      <c r="G94" s="80" t="s">
        <v>727</v>
      </c>
    </row>
    <row r="95" customFormat="false" ht="34.5" hidden="false" customHeight="true" outlineLevel="0" collapsed="false">
      <c r="A95" s="79" t="s">
        <v>346</v>
      </c>
      <c r="B95" s="80" t="s">
        <v>728</v>
      </c>
      <c r="C95" s="81" t="s">
        <v>729</v>
      </c>
      <c r="D95" s="87" t="n">
        <v>0.25</v>
      </c>
      <c r="E95" s="80" t="s">
        <v>730</v>
      </c>
      <c r="F95" s="78" t="s">
        <v>387</v>
      </c>
      <c r="G95" s="80" t="s">
        <v>731</v>
      </c>
    </row>
    <row r="96" customFormat="false" ht="34.5" hidden="false" customHeight="true" outlineLevel="0" collapsed="false">
      <c r="A96" s="79" t="s">
        <v>346</v>
      </c>
      <c r="B96" s="80" t="s">
        <v>732</v>
      </c>
      <c r="C96" s="81" t="s">
        <v>718</v>
      </c>
      <c r="D96" s="87" t="n">
        <v>0.5</v>
      </c>
      <c r="E96" s="80" t="s">
        <v>733</v>
      </c>
      <c r="F96" s="80" t="s">
        <v>442</v>
      </c>
      <c r="G96" s="80" t="s">
        <v>734</v>
      </c>
    </row>
    <row r="97" customFormat="false" ht="34.5" hidden="false" customHeight="true" outlineLevel="0" collapsed="false">
      <c r="A97" s="79" t="s">
        <v>735</v>
      </c>
      <c r="B97" s="80" t="s">
        <v>736</v>
      </c>
      <c r="C97" s="81" t="s">
        <v>737</v>
      </c>
      <c r="D97" s="87" t="n">
        <v>0.3</v>
      </c>
      <c r="E97" s="80" t="s">
        <v>738</v>
      </c>
      <c r="F97" s="78" t="s">
        <v>387</v>
      </c>
      <c r="G97" s="80" t="s">
        <v>739</v>
      </c>
    </row>
    <row r="98" customFormat="false" ht="23.25" hidden="false" customHeight="true" outlineLevel="0" collapsed="false">
      <c r="A98" s="79" t="s">
        <v>740</v>
      </c>
      <c r="B98" s="80" t="s">
        <v>741</v>
      </c>
      <c r="C98" s="81" t="s">
        <v>742</v>
      </c>
      <c r="D98" s="87" t="n">
        <v>0.55</v>
      </c>
      <c r="E98" s="80" t="s">
        <v>743</v>
      </c>
      <c r="F98" s="78" t="s">
        <v>387</v>
      </c>
      <c r="G98" s="80" t="s">
        <v>744</v>
      </c>
    </row>
    <row r="99" customFormat="false" ht="34.5" hidden="false" customHeight="true" outlineLevel="0" collapsed="false">
      <c r="A99" s="79" t="s">
        <v>745</v>
      </c>
      <c r="B99" s="80" t="s">
        <v>746</v>
      </c>
      <c r="C99" s="81" t="s">
        <v>742</v>
      </c>
      <c r="D99" s="87" t="n">
        <v>0.4</v>
      </c>
      <c r="E99" s="80" t="s">
        <v>747</v>
      </c>
      <c r="F99" s="80" t="s">
        <v>442</v>
      </c>
      <c r="G99" s="80" t="s">
        <v>748</v>
      </c>
    </row>
    <row r="100" customFormat="false" ht="34.5" hidden="false" customHeight="true" outlineLevel="0" collapsed="false">
      <c r="A100" s="79" t="s">
        <v>749</v>
      </c>
      <c r="B100" s="80" t="s">
        <v>750</v>
      </c>
      <c r="C100" s="81" t="s">
        <v>751</v>
      </c>
      <c r="D100" s="87" t="n">
        <v>0.35</v>
      </c>
      <c r="E100" s="80" t="s">
        <v>752</v>
      </c>
      <c r="F100" s="78" t="s">
        <v>387</v>
      </c>
      <c r="G100" s="80" t="s">
        <v>753</v>
      </c>
    </row>
    <row r="101" customFormat="false" ht="23.25" hidden="false" customHeight="true" outlineLevel="0" collapsed="false">
      <c r="A101" s="79" t="s">
        <v>754</v>
      </c>
      <c r="B101" s="80" t="s">
        <v>755</v>
      </c>
      <c r="C101" s="106" t="s">
        <v>754</v>
      </c>
      <c r="D101" s="87" t="n">
        <v>0.15</v>
      </c>
      <c r="E101" s="80" t="s">
        <v>756</v>
      </c>
      <c r="F101" s="78" t="s">
        <v>387</v>
      </c>
      <c r="G101" s="80" t="s">
        <v>757</v>
      </c>
    </row>
    <row r="102" customFormat="false" ht="23.25" hidden="false" customHeight="true" outlineLevel="0" collapsed="false">
      <c r="A102" s="79" t="s">
        <v>754</v>
      </c>
      <c r="B102" s="80" t="s">
        <v>758</v>
      </c>
      <c r="C102" s="81" t="s">
        <v>759</v>
      </c>
      <c r="D102" s="87" t="n">
        <v>0.1</v>
      </c>
      <c r="E102" s="80" t="s">
        <v>760</v>
      </c>
      <c r="F102" s="78" t="s">
        <v>387</v>
      </c>
      <c r="G102" s="80" t="s">
        <v>761</v>
      </c>
    </row>
    <row r="103" customFormat="false" ht="23.25" hidden="false" customHeight="true" outlineLevel="0" collapsed="false">
      <c r="A103" s="79" t="s">
        <v>754</v>
      </c>
      <c r="B103" s="80" t="s">
        <v>762</v>
      </c>
      <c r="C103" s="81" t="s">
        <v>763</v>
      </c>
      <c r="D103" s="87" t="n">
        <v>0.2</v>
      </c>
      <c r="E103" s="80" t="s">
        <v>764</v>
      </c>
      <c r="F103" s="80" t="s">
        <v>442</v>
      </c>
      <c r="G103" s="80" t="s">
        <v>765</v>
      </c>
    </row>
    <row r="104" customFormat="false" ht="15" hidden="false" customHeight="false" outlineLevel="0" collapsed="false"/>
    <row r="105" customFormat="false" ht="15" hidden="false" customHeight="false" outlineLevel="0" collapsed="false"/>
    <row r="106" customFormat="false" ht="15" hidden="false" customHeight="true" outlineLevel="0" collapsed="false">
      <c r="A106" s="107" t="s">
        <v>766</v>
      </c>
      <c r="B106" s="107"/>
      <c r="C106" s="107"/>
      <c r="D106" s="107"/>
      <c r="E106" s="107"/>
      <c r="F106" s="107"/>
      <c r="G106" s="107"/>
      <c r="H106" s="107"/>
      <c r="I106" s="107"/>
    </row>
    <row r="107" customFormat="false" ht="15" hidden="false" customHeight="true" outlineLevel="0" collapsed="false">
      <c r="A107" s="108" t="s">
        <v>767</v>
      </c>
      <c r="B107" s="108"/>
      <c r="C107" s="108"/>
      <c r="D107" s="108"/>
      <c r="E107" s="108"/>
      <c r="F107" s="108"/>
      <c r="G107" s="108"/>
      <c r="H107" s="108"/>
      <c r="I107" s="108"/>
    </row>
    <row r="108" customFormat="false" ht="15" hidden="false" customHeight="true" outlineLevel="0" collapsed="false">
      <c r="A108" s="108" t="s">
        <v>768</v>
      </c>
      <c r="B108" s="108"/>
      <c r="C108" s="108"/>
      <c r="D108" s="108"/>
      <c r="E108" s="108"/>
      <c r="F108" s="108"/>
      <c r="G108" s="108"/>
      <c r="H108" s="108"/>
      <c r="I108" s="108"/>
    </row>
    <row r="109" customFormat="false" ht="15" hidden="false" customHeight="true" outlineLevel="0" collapsed="false">
      <c r="A109" s="108" t="s">
        <v>769</v>
      </c>
      <c r="B109" s="108"/>
      <c r="C109" s="108"/>
      <c r="D109" s="108"/>
      <c r="E109" s="108"/>
      <c r="F109" s="108"/>
      <c r="G109" s="108"/>
      <c r="H109" s="108"/>
      <c r="I109" s="108"/>
    </row>
    <row r="110" customFormat="false" ht="15" hidden="false" customHeight="true" outlineLevel="0" collapsed="false">
      <c r="A110" s="108" t="s">
        <v>770</v>
      </c>
      <c r="B110" s="108"/>
      <c r="C110" s="108"/>
      <c r="D110" s="108"/>
      <c r="E110" s="108"/>
      <c r="F110" s="108"/>
      <c r="G110" s="108"/>
      <c r="H110" s="108"/>
      <c r="I110" s="108"/>
    </row>
    <row r="111" customFormat="false" ht="15" hidden="false" customHeight="true" outlineLevel="0" collapsed="false">
      <c r="A111" s="108" t="s">
        <v>771</v>
      </c>
      <c r="B111" s="108"/>
      <c r="C111" s="108"/>
      <c r="D111" s="108"/>
      <c r="E111" s="108"/>
      <c r="F111" s="108"/>
      <c r="G111" s="108"/>
      <c r="H111" s="108"/>
      <c r="I111" s="108"/>
    </row>
    <row r="112" customFormat="false" ht="15" hidden="false" customHeight="true" outlineLevel="0" collapsed="false">
      <c r="A112" s="108" t="s">
        <v>772</v>
      </c>
      <c r="B112" s="108"/>
      <c r="C112" s="108"/>
      <c r="D112" s="108"/>
      <c r="E112" s="108"/>
      <c r="F112" s="108"/>
      <c r="G112" s="108"/>
      <c r="H112" s="108"/>
      <c r="I112" s="108"/>
    </row>
  </sheetData>
  <mergeCells count="15">
    <mergeCell ref="A1:I1"/>
    <mergeCell ref="A2:I2"/>
    <mergeCell ref="A3:I3"/>
    <mergeCell ref="A5:I5"/>
    <mergeCell ref="A42:I42"/>
    <mergeCell ref="A57:I57"/>
    <mergeCell ref="A69:I69"/>
    <mergeCell ref="A90:I90"/>
    <mergeCell ref="A106:I106"/>
    <mergeCell ref="A107:I107"/>
    <mergeCell ref="A108:I108"/>
    <mergeCell ref="A109:I109"/>
    <mergeCell ref="A110:I110"/>
    <mergeCell ref="A111:I111"/>
    <mergeCell ref="A112:I1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2026-03-14T14:54:19Z</dcterms:created>
  <dc:creator>openpyxl</dc:creator>
  <dc:description/>
  <dc:language>en-US</dc:language>
  <cp:lastModifiedBy/>
  <dcterms:modified xsi:type="dcterms:W3CDTF">2026-03-14T15:10:47Z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