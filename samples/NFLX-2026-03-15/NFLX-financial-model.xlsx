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DCF Valuation" sheetId="7" state="visible" r:id="rId7"/>
    <sheet xmlns:r="http://schemas.openxmlformats.org/officeDocument/2006/relationships" name="SOTP Valuation" sheetId="8" state="visible" r:id="rId8"/>
    <sheet xmlns:r="http://schemas.openxmlformats.org/officeDocument/2006/relationships" name="Scenario Analysis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Agent Scores" sheetId="11" state="visible" r:id="rId11"/>
    <sheet xmlns:r="http://schemas.openxmlformats.org/officeDocument/2006/relationships" name="Catalyst Calendar" sheetId="12" state="visible" r:id="rId12"/>
    <sheet xmlns:r="http://schemas.openxmlformats.org/officeDocument/2006/relationships" name="Position Sizing" sheetId="13" state="visible" r:id="rId13"/>
    <sheet xmlns:r="http://schemas.openxmlformats.org/officeDocument/2006/relationships" name="Delta Intelligence" sheetId="14" state="visible" r:id="rId14"/>
    <sheet xmlns:r="http://schemas.openxmlformats.org/officeDocument/2006/relationships" name="Content Analysis" sheetId="15" state="visible" r:id="rId15"/>
    <sheet xmlns:r="http://schemas.openxmlformats.org/officeDocument/2006/relationships" name="Subscriber Cohorts" sheetId="16" state="visible" r:id="rId16"/>
    <sheet xmlns:r="http://schemas.openxmlformats.org/officeDocument/2006/relationships" name="Risk Matri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#,##0.0"/>
    <numFmt numFmtId="166" formatCode="$#,##0.0"/>
    <numFmt numFmtId="167" formatCode="0.0%"/>
    <numFmt numFmtId="168" formatCode="$#,##0.00"/>
    <numFmt numFmtId="169" formatCode="$#,##0"/>
    <numFmt numFmtId="170" formatCode="0.000"/>
    <numFmt numFmtId="171" formatCode="0.0x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  <sz val="11"/>
    </font>
    <font>
      <color rgb="000000FF"/>
      <sz val="11"/>
    </font>
    <font>
      <color rgb="00008000"/>
      <sz val="11"/>
    </font>
    <font>
      <b val="1"/>
      <color rgb="00FFFFFF"/>
      <sz val="10"/>
    </font>
    <font>
      <color rgb="00000000"/>
      <sz val="10"/>
    </font>
    <font>
      <color rgb="000000FF"/>
      <sz val="10"/>
    </font>
    <font>
      <color rgb="00008000"/>
      <sz val="10"/>
    </font>
    <font>
      <b val="1"/>
      <color rgb="00FFFFFF"/>
      <sz val="9"/>
    </font>
    <font>
      <color rgb="00000000"/>
      <sz val="9"/>
    </font>
    <font>
      <color rgb="000000FF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9933FF"/>
        <bgColor rgb="00993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166" fontId="2" fillId="0" borderId="0" pivotButton="0" quotePrefix="0" xfId="0"/>
    <xf numFmtId="166" fontId="4" fillId="0" borderId="0" pivotButton="0" quotePrefix="0" xfId="0"/>
    <xf numFmtId="167" fontId="2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168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169" fontId="3" fillId="0" borderId="0" pivotButton="0" quotePrefix="0" xfId="0"/>
    <xf numFmtId="169" fontId="2" fillId="0" borderId="0" pivotButton="0" quotePrefix="0" xfId="0"/>
    <xf numFmtId="3" fontId="2" fillId="0" borderId="0" pivotButton="0" quotePrefix="0" xfId="0"/>
    <xf numFmtId="168" fontId="3" fillId="0" borderId="0" pivotButton="0" quotePrefix="0" xfId="0"/>
    <xf numFmtId="0" fontId="1" fillId="4" borderId="0" applyAlignment="1" pivotButton="0" quotePrefix="0" xfId="0">
      <alignment horizontal="left" vertical="center"/>
    </xf>
    <xf numFmtId="164" fontId="3" fillId="0" borderId="0" pivotButton="0" quotePrefix="0" xfId="0"/>
    <xf numFmtId="167" fontId="4" fillId="0" borderId="0" pivotButton="0" quotePrefix="0" xfId="0"/>
    <xf numFmtId="164" fontId="4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170" fontId="2" fillId="0" borderId="0" pivotButton="0" quotePrefix="0" xfId="0"/>
    <xf numFmtId="2" fontId="4" fillId="0" borderId="0" pivotButton="0" quotePrefix="0" xfId="0"/>
    <xf numFmtId="2" fontId="3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168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8" fontId="5" fillId="4" borderId="0" applyAlignment="1" pivotButton="0" quotePrefix="0" xfId="0">
      <alignment horizontal="center" vertical="center" wrapText="1"/>
    </xf>
    <xf numFmtId="167" fontId="5" fillId="4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171" fontId="8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applyAlignment="1" pivotButton="0" quotePrefix="0" xfId="0">
      <alignment horizontal="right" vertical="center" wrapText="1"/>
    </xf>
    <xf numFmtId="164" fontId="11" fillId="0" borderId="0" applyAlignment="1" pivotButton="0" quotePrefix="0" xfId="0">
      <alignment horizontal="right" vertical="center" wrapText="1"/>
    </xf>
    <xf numFmtId="167" fontId="11" fillId="0" borderId="0" applyAlignment="1" pivotButton="0" quotePrefix="0" xfId="0">
      <alignment horizontal="right" vertical="center" wrapText="1"/>
    </xf>
    <xf numFmtId="166" fontId="10" fillId="0" borderId="0" applyAlignment="1" pivotButton="0" quotePrefix="0" xfId="0">
      <alignment horizontal="right" vertical="center" wrapText="1"/>
    </xf>
    <xf numFmtId="166" fontId="10" fillId="0" borderId="0" pivotButton="0" quotePrefix="0" xfId="0"/>
    <xf numFmtId="1" fontId="11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 wrapText="1"/>
    </xf>
    <xf numFmtId="0" fontId="10" fillId="0" borderId="0" pivotButton="0" quotePrefix="0" xfId="0"/>
    <xf numFmtId="164" fontId="10" fillId="0" borderId="0" pivotButton="0" quotePrefix="0" xfId="0"/>
    <xf numFmtId="167" fontId="11" fillId="0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169" fontId="7" fillId="0" borderId="0" applyAlignment="1" pivotButton="0" quotePrefix="0" xfId="0">
      <alignment horizontal="right" vertical="center" wrapText="1"/>
    </xf>
    <xf numFmtId="3" fontId="7" fillId="0" borderId="0" applyAlignment="1" pivotButton="0" quotePrefix="0" xfId="0">
      <alignment horizontal="right" vertical="center" wrapText="1"/>
    </xf>
    <xf numFmtId="167" fontId="7" fillId="0" borderId="0" applyAlignment="1" pivotButton="0" quotePrefix="0" xfId="0">
      <alignment horizontal="right" vertical="center" wrapText="1"/>
    </xf>
    <xf numFmtId="169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  <xf numFmtId="169" fontId="6" fillId="0" borderId="0" applyAlignment="1" pivotButton="0" quotePrefix="0" xfId="0">
      <alignment horizontal="right" vertical="center" wrapText="1"/>
    </xf>
    <xf numFmtId="3" fontId="6" fillId="0" borderId="0" applyAlignment="1" pivotButton="0" quotePrefix="0" xfId="0">
      <alignment horizontal="right" vertical="center" wrapText="1"/>
    </xf>
    <xf numFmtId="167" fontId="6" fillId="0" borderId="0" applyAlignment="1" pivotButton="0" quotePrefix="0" xfId="0">
      <alignment horizontal="right" vertical="center" wrapText="1"/>
    </xf>
    <xf numFmtId="169" fontId="6" fillId="0" borderId="0" applyAlignment="1" pivotButton="0" quotePrefix="0" xfId="0">
      <alignment horizontal="left" vertical="center" wrapText="1"/>
    </xf>
    <xf numFmtId="168" fontId="7" fillId="0" borderId="0" applyAlignment="1" pivotButton="0" quotePrefix="0" xfId="0">
      <alignment horizontal="right" vertical="center" wrapText="1"/>
    </xf>
    <xf numFmtId="171" fontId="6" fillId="0" borderId="0" applyAlignment="1" pivotButton="0" quotePrefix="0" xfId="0">
      <alignment horizontal="right" vertical="center" wrapText="1"/>
    </xf>
    <xf numFmtId="168" fontId="6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167" fontId="2" fillId="0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4" borderId="0" pivotButton="0" quotePrefix="0" xfId="0"/>
    <xf numFmtId="169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4" fontId="6" fillId="0" borderId="0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NETFLIX INC (NFLX) - INVESTMENT THESIS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2" t="inlineStr">
        <is>
          <t>Ticker</t>
        </is>
      </c>
      <c r="B3" s="2" t="inlineStr">
        <is>
          <t>NFLX</t>
        </is>
      </c>
      <c r="C3" s="2" t="inlineStr"/>
    </row>
    <row r="4">
      <c r="A4" s="2" t="inlineStr">
        <is>
          <t>Company</t>
        </is>
      </c>
      <c r="B4" s="2" t="inlineStr">
        <is>
          <t>Netflix Inc</t>
        </is>
      </c>
      <c r="C4" s="2" t="inlineStr"/>
    </row>
    <row r="5">
      <c r="A5" s="2" t="inlineStr">
        <is>
          <t>Current Price</t>
        </is>
      </c>
      <c r="B5" s="2" t="inlineStr">
        <is>
          <t>$94.96</t>
        </is>
      </c>
      <c r="C5" s="2" t="inlineStr"/>
    </row>
    <row r="6">
      <c r="A6" s="2" t="inlineStr"/>
      <c r="B6" s="2" t="inlineStr"/>
      <c r="C6" s="2" t="inlineStr"/>
    </row>
    <row r="7">
      <c r="A7" s="2" t="inlineStr">
        <is>
          <t>Market Cap ($B)</t>
        </is>
      </c>
      <c r="B7" s="2" t="inlineStr">
        <is>
          <t>$404.0</t>
        </is>
      </c>
      <c r="C7" s="2" t="inlineStr"/>
    </row>
    <row r="8">
      <c r="A8" s="2" t="inlineStr">
        <is>
          <t>52-Week Range</t>
        </is>
      </c>
      <c r="B8" s="2" t="inlineStr">
        <is>
          <t>$81 - $135</t>
        </is>
      </c>
      <c r="C8" s="2" t="inlineStr"/>
    </row>
    <row r="9">
      <c r="A9" s="2" t="inlineStr">
        <is>
          <t>Shares Outstanding (M)</t>
        </is>
      </c>
      <c r="B9" s="2" t="inlineStr">
        <is>
          <t>425.5</t>
        </is>
      </c>
      <c r="C9" s="2" t="inlineStr"/>
    </row>
    <row r="10">
      <c r="A10" s="2" t="inlineStr"/>
      <c r="B10" s="2" t="inlineStr"/>
      <c r="C10" s="2" t="inlineStr"/>
    </row>
    <row r="11">
      <c r="A11" s="2" t="inlineStr">
        <is>
          <t>VALUATION SUMMARY</t>
        </is>
      </c>
      <c r="B11" s="2" t="inlineStr"/>
      <c r="C11" s="2" t="inlineStr"/>
    </row>
    <row r="12">
      <c r="A12" s="2" t="inlineStr">
        <is>
          <t>DCF Fair Value</t>
        </is>
      </c>
      <c r="B12" s="2">
        <f>Assumptions!B$30</f>
        <v/>
      </c>
      <c r="C12" s="2" t="inlineStr"/>
    </row>
    <row r="13">
      <c r="A13" s="2" t="inlineStr">
        <is>
          <t>SOTP Fair Value</t>
        </is>
      </c>
      <c r="B13" s="2">
        <f>SOTP!B$15</f>
        <v/>
      </c>
      <c r="C13" s="2" t="inlineStr"/>
    </row>
    <row r="14">
      <c r="A14" s="2" t="inlineStr">
        <is>
          <t>Blended Fair Value</t>
        </is>
      </c>
      <c r="B14" s="2" t="inlineStr">
        <is>
          <t>$109.00</t>
        </is>
      </c>
      <c r="C14" s="2" t="inlineStr"/>
    </row>
    <row r="15">
      <c r="A15" s="2" t="inlineStr">
        <is>
          <t>Current Price</t>
        </is>
      </c>
      <c r="B15" s="2" t="inlineStr">
        <is>
          <t>$94.96</t>
        </is>
      </c>
      <c r="C15" s="2" t="inlineStr"/>
    </row>
    <row r="16">
      <c r="A16" s="2" t="inlineStr">
        <is>
          <t>Upside/(Downside)</t>
        </is>
      </c>
      <c r="B16" s="2" t="inlineStr">
        <is>
          <t>14.8%</t>
        </is>
      </c>
      <c r="C16" s="2" t="inlineStr"/>
    </row>
    <row r="17">
      <c r="A17" s="2" t="inlineStr"/>
      <c r="B17" s="2" t="inlineStr"/>
      <c r="C17" s="2" t="inlineStr"/>
    </row>
    <row r="18">
      <c r="A18" s="2" t="inlineStr">
        <is>
          <t>INVESTMENT METRICS</t>
        </is>
      </c>
      <c r="B18" s="2" t="inlineStr"/>
      <c r="C18" s="2" t="inlineStr"/>
    </row>
    <row r="19">
      <c r="A19" s="2" t="inlineStr">
        <is>
          <t>Conviction Score</t>
        </is>
      </c>
      <c r="B19" s="2" t="inlineStr">
        <is>
          <t>7.1</t>
        </is>
      </c>
      <c r="C19" s="2" t="inlineStr">
        <is>
          <t>/10</t>
        </is>
      </c>
    </row>
    <row r="20">
      <c r="A20" s="2" t="inlineStr">
        <is>
          <t>Risk/Reward Profile</t>
        </is>
      </c>
      <c r="B20" s="2" t="inlineStr">
        <is>
          <t>Favorable</t>
        </is>
      </c>
      <c r="C20" s="2" t="inlineStr"/>
    </row>
    <row r="21">
      <c r="A21" s="2" t="inlineStr">
        <is>
          <t>Variant View</t>
        </is>
      </c>
      <c r="B21" s="2" t="inlineStr">
        <is>
          <t>NEUTRAL</t>
        </is>
      </c>
      <c r="C21" s="2" t="inlineStr"/>
    </row>
    <row r="22">
      <c r="A22" s="2" t="inlineStr"/>
      <c r="B22" s="2" t="inlineStr"/>
      <c r="C22" s="2" t="inlineStr"/>
    </row>
    <row r="23">
      <c r="A23" s="2" t="inlineStr">
        <is>
          <t>REPORT DETAILS</t>
        </is>
      </c>
      <c r="B23" s="2" t="inlineStr"/>
      <c r="C23" s="2" t="inlineStr"/>
    </row>
    <row r="24">
      <c r="A24" s="2" t="inlineStr">
        <is>
          <t>Report Date</t>
        </is>
      </c>
      <c r="B24" s="2" t="inlineStr">
        <is>
          <t>March 15, 2026</t>
        </is>
      </c>
      <c r="C24" s="2" t="inlineStr"/>
    </row>
    <row r="25">
      <c r="A25" s="2" t="inlineStr">
        <is>
          <t>Analyst</t>
        </is>
      </c>
      <c r="B25" s="2" t="inlineStr">
        <is>
          <t>Hedge Fund Analysis</t>
        </is>
      </c>
      <c r="C25" s="2" t="inlineStr"/>
    </row>
    <row r="26">
      <c r="A26" s="2" t="inlineStr"/>
      <c r="B26" s="2" t="inlineStr"/>
      <c r="C26" s="2" t="inlineStr"/>
    </row>
    <row r="27">
      <c r="A27" s="2" t="inlineStr">
        <is>
          <t>COLOR LEGEND</t>
        </is>
      </c>
      <c r="B27" s="2" t="inlineStr"/>
      <c r="C27" s="2" t="inlineStr"/>
    </row>
    <row r="28">
      <c r="A28" s="2" t="inlineStr">
        <is>
          <t>Blue Font</t>
        </is>
      </c>
      <c r="B28" s="2" t="inlineStr">
        <is>
          <t>Hardcoded Inputs/Assumptions</t>
        </is>
      </c>
      <c r="C28" s="2" t="inlineStr"/>
    </row>
    <row r="29">
      <c r="A29" s="2" t="inlineStr">
        <is>
          <t>Black Font</t>
        </is>
      </c>
      <c r="B29" s="2" t="inlineStr">
        <is>
          <t>Formula-Driven Values</t>
        </is>
      </c>
      <c r="C29" s="2" t="inlineStr"/>
    </row>
    <row r="30">
      <c r="A30" s="2" t="inlineStr">
        <is>
          <t>Green Font</t>
        </is>
      </c>
      <c r="B30" s="2" t="inlineStr">
        <is>
          <t>Cross-Sheet References</t>
        </is>
      </c>
      <c r="C30" s="2" t="inlineStr"/>
    </row>
    <row r="31">
      <c r="A31" s="2" t="inlineStr">
        <is>
          <t>Yellow Highlight</t>
        </is>
      </c>
      <c r="B31" s="2" t="inlineStr">
        <is>
          <t>Key Assumptions Needing Attention</t>
        </is>
      </c>
      <c r="C31" s="2" t="inlineStr"/>
    </row>
    <row r="32">
      <c r="A32" s="2" t="inlineStr"/>
      <c r="B32" s="2" t="inlineStr"/>
      <c r="C32" s="2" t="inlineStr"/>
    </row>
    <row r="33">
      <c r="A33" s="2" t="inlineStr">
        <is>
          <t>DISCLOSURES</t>
        </is>
      </c>
      <c r="B33" s="2" t="inlineStr"/>
      <c r="C33" s="2" t="inlineStr"/>
    </row>
    <row r="34">
      <c r="A34" s="2" t="inlineStr">
        <is>
          <t>This analysis is for illustrative purposes only.</t>
        </is>
      </c>
      <c r="B34" s="2" t="inlineStr"/>
      <c r="C34" s="2" t="inlineStr"/>
    </row>
    <row r="35">
      <c r="A35" s="2" t="inlineStr">
        <is>
          <t>Not investment advice. Do own due diligence.</t>
        </is>
      </c>
      <c r="B35" s="2" t="inlineStr"/>
      <c r="C35" s="2" t="inlineStr"/>
    </row>
    <row r="36">
      <c r="A36" s="1" t="inlineStr">
        <is>
          <t>DETAILED INVESTMENT CASE</t>
        </is>
      </c>
      <c r="B36" s="1" t="inlineStr"/>
      <c r="C36" s="1" t="inlineStr"/>
    </row>
    <row r="37">
      <c r="A37" s="2" t="inlineStr"/>
      <c r="B37" s="2" t="inlineStr"/>
      <c r="C37" s="2" t="inlineStr"/>
    </row>
    <row r="38">
      <c r="A38" s="2" t="inlineStr">
        <is>
          <t>Key Bull Thesis Points</t>
        </is>
      </c>
      <c r="B38" s="2" t="inlineStr"/>
      <c r="C38" s="2" t="inlineStr"/>
    </row>
    <row r="39">
      <c r="A39" s="2" t="inlineStr">
        <is>
          <t>1. Ad Tier Monetization</t>
        </is>
      </c>
      <c r="B39" s="2" t="inlineStr">
        <is>
          <t>Unpriced upside</t>
        </is>
      </c>
      <c r="C39" s="2" t="inlineStr">
        <is>
          <t>$4B+ revenue by 2026</t>
        </is>
      </c>
    </row>
    <row r="40">
      <c r="A40" s="2" t="inlineStr">
        <is>
          <t>2. ARPU Expansion</t>
        </is>
      </c>
      <c r="B40" s="2" t="inlineStr">
        <is>
          <t>Pricing power</t>
        </is>
      </c>
      <c r="C40" s="2" t="inlineStr">
        <is>
          <t>+$1.50 per sub by 2030</t>
        </is>
      </c>
    </row>
    <row r="41">
      <c r="A41" s="2" t="inlineStr">
        <is>
          <t>3. International Growth</t>
        </is>
      </c>
      <c r="B41" s="2" t="inlineStr">
        <is>
          <t>50%+ subs growth</t>
        </is>
      </c>
      <c r="C41" s="2" t="inlineStr">
        <is>
          <t>Emerging market expansion</t>
        </is>
      </c>
    </row>
    <row r="42">
      <c r="A42" s="2" t="inlineStr">
        <is>
          <t>4. FCF Generation</t>
        </is>
      </c>
      <c r="B42" s="2" t="inlineStr">
        <is>
          <t>Fortress balance sheet</t>
        </is>
      </c>
      <c r="C42" s="2" t="inlineStr">
        <is>
          <t>$15B+ annual FCF</t>
        </is>
      </c>
    </row>
    <row r="43">
      <c r="A43" s="1" t="inlineStr">
        <is>
          <t>5. Content Moat</t>
        </is>
      </c>
      <c r="B43" s="1" t="inlineStr">
        <is>
          <t>Exclusive franchises</t>
        </is>
      </c>
      <c r="C43" s="1" t="inlineStr">
        <is>
          <t>Squid Game, Wednesday S2+</t>
        </is>
      </c>
    </row>
    <row r="44">
      <c r="A44" s="2" t="inlineStr"/>
      <c r="B44" s="2" t="inlineStr"/>
      <c r="C44" s="2" t="inlineStr"/>
    </row>
    <row r="45">
      <c r="A45" s="2" t="inlineStr">
        <is>
          <t>Key Bear Thesis Points</t>
        </is>
      </c>
      <c r="B45" s="2" t="inlineStr"/>
      <c r="C45" s="2" t="inlineStr"/>
    </row>
    <row r="46">
      <c r="A46" s="2" t="inlineStr">
        <is>
          <t>1. Churn Acceleration</t>
        </is>
      </c>
      <c r="B46" s="2" t="inlineStr">
        <is>
          <t>Market saturation</t>
        </is>
      </c>
      <c r="C46" s="2" t="inlineStr">
        <is>
          <t>UCAN/EMEA maturing</t>
        </is>
      </c>
    </row>
    <row r="47">
      <c r="A47" s="2" t="inlineStr">
        <is>
          <t>2. Content Costs</t>
        </is>
      </c>
      <c r="B47" s="2" t="inlineStr">
        <is>
          <t>Inflation pressure</t>
        </is>
      </c>
      <c r="C47" s="2" t="inlineStr">
        <is>
          <t>$22B+ annual spend</t>
        </is>
      </c>
    </row>
    <row r="48">
      <c r="A48" s="1" t="inlineStr">
        <is>
          <t>3. Competitive Intensity</t>
        </is>
      </c>
      <c r="B48" s="1" t="inlineStr">
        <is>
          <t>Disney, Amazon, Apple</t>
        </is>
      </c>
      <c r="C48" s="1" t="inlineStr">
        <is>
          <t>Winner-take-most dynamic</t>
        </is>
      </c>
    </row>
    <row r="49">
      <c r="A49" s="2" t="inlineStr">
        <is>
          <t>4. Regulatory Risk</t>
        </is>
      </c>
      <c r="B49" s="2" t="inlineStr">
        <is>
          <t>France, EU, China</t>
        </is>
      </c>
      <c r="C49" s="2" t="inlineStr">
        <is>
          <t>$500M-$2B downside</t>
        </is>
      </c>
    </row>
    <row r="50">
      <c r="A50" s="2" t="inlineStr">
        <is>
          <t>5. Password Sharing</t>
        </is>
      </c>
      <c r="B50" s="2" t="inlineStr">
        <is>
          <t>Conversion rates</t>
        </is>
      </c>
      <c r="C50" s="2" t="inlineStr">
        <is>
          <t>Declining benefit 2026+</t>
        </is>
      </c>
    </row>
    <row r="51">
      <c r="A51" s="2" t="inlineStr"/>
      <c r="B51" s="2" t="inlineStr"/>
      <c r="C51" s="2" t="inlineStr"/>
    </row>
    <row r="52">
      <c r="A52" s="2" t="inlineStr">
        <is>
          <t>Valuation Range</t>
        </is>
      </c>
      <c r="B52" s="2" t="inlineStr"/>
      <c r="C52" s="2" t="inlineStr"/>
    </row>
    <row r="53">
      <c r="A53" s="2" t="inlineStr">
        <is>
          <t>Bull Case ($160)</t>
        </is>
      </c>
      <c r="B53" s="2" t="inlineStr">
        <is>
          <t>Ad success + international</t>
        </is>
      </c>
      <c r="C53" s="2" t="inlineStr">
        <is>
          <t>32% upside</t>
        </is>
      </c>
    </row>
    <row r="54">
      <c r="A54" s="2" t="inlineStr">
        <is>
          <t>Base Case ($109)</t>
        </is>
      </c>
      <c r="B54" s="2" t="inlineStr">
        <is>
          <t>Management guidance + 2% growth</t>
        </is>
      </c>
      <c r="C54" s="2" t="inlineStr">
        <is>
          <t>15% upside</t>
        </is>
      </c>
    </row>
    <row r="55">
      <c r="A55" s="2" t="inlineStr">
        <is>
          <t>Bear Case ($68)</t>
        </is>
      </c>
      <c r="B55" s="2" t="inlineStr">
        <is>
          <t>Competitive + macro headwinds</t>
        </is>
      </c>
      <c r="C55" s="2" t="inlineStr">
        <is>
          <t>28% downside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Metric</t>
        </is>
      </c>
      <c r="B1" s="3" t="inlineStr">
        <is>
          <t>2021A</t>
        </is>
      </c>
      <c r="C1" s="3" t="inlineStr">
        <is>
          <t>2022A</t>
        </is>
      </c>
      <c r="D1" s="3" t="inlineStr">
        <is>
          <t>2023A</t>
        </is>
      </c>
      <c r="E1" s="3" t="inlineStr">
        <is>
          <t>2024A</t>
        </is>
      </c>
      <c r="F1" s="3" t="inlineStr">
        <is>
          <t>2025A</t>
        </is>
      </c>
      <c r="G1" s="3" t="inlineStr">
        <is>
          <t>2026E</t>
        </is>
      </c>
      <c r="H1" s="3" t="inlineStr">
        <is>
          <t>2027E</t>
        </is>
      </c>
      <c r="I1" s="3" t="inlineStr">
        <is>
          <t>2028E</t>
        </is>
      </c>
      <c r="J1" s="3" t="inlineStr">
        <is>
          <t>2029E</t>
        </is>
      </c>
      <c r="K1" s="3" t="inlineStr">
        <is>
          <t>2030E</t>
        </is>
      </c>
    </row>
    <row r="2">
      <c r="A2" s="2" t="inlineStr">
        <is>
          <t>Revenue Growth %</t>
        </is>
      </c>
      <c r="B2" s="4" t="n">
        <v>16</v>
      </c>
      <c r="C2" s="4" t="n">
        <v>10.2</v>
      </c>
      <c r="D2" s="4" t="n">
        <v>12.8</v>
      </c>
      <c r="E2" s="4" t="n">
        <v>15.3</v>
      </c>
      <c r="F2" s="4" t="n">
        <v>12</v>
      </c>
      <c r="G2" s="4" t="n">
        <v>14.5</v>
      </c>
      <c r="H2" s="4" t="n">
        <v>13</v>
      </c>
      <c r="I2" s="4" t="n">
        <v>11.5</v>
      </c>
      <c r="J2" s="4" t="n">
        <v>10</v>
      </c>
      <c r="K2" s="4" t="n">
        <v>9</v>
      </c>
    </row>
    <row r="3">
      <c r="A3" s="2" t="inlineStr">
        <is>
          <t>Subscribers (M)</t>
        </is>
      </c>
      <c r="B3" s="5" t="n">
        <v>222</v>
      </c>
      <c r="C3" s="5" t="n">
        <v>231</v>
      </c>
      <c r="D3" s="5" t="n">
        <v>260</v>
      </c>
      <c r="E3" s="5" t="n">
        <v>302</v>
      </c>
      <c r="F3" s="5" t="n">
        <v>325</v>
      </c>
      <c r="G3" s="5" t="n">
        <v>350</v>
      </c>
      <c r="H3" s="5" t="n">
        <v>375</v>
      </c>
      <c r="I3" s="5" t="n">
        <v>400</v>
      </c>
      <c r="J3" s="5" t="n">
        <v>420</v>
      </c>
      <c r="K3" s="5" t="n">
        <v>440</v>
      </c>
    </row>
    <row r="4">
      <c r="A4" s="2" t="inlineStr">
        <is>
          <t>ARPU ($)</t>
        </is>
      </c>
      <c r="B4" s="6" t="n">
        <v>11.02</v>
      </c>
      <c r="C4" s="6" t="n">
        <v>11.31</v>
      </c>
      <c r="D4" s="6" t="n">
        <v>11.5</v>
      </c>
      <c r="E4" s="6" t="n">
        <v>11.6</v>
      </c>
      <c r="F4" s="6" t="n">
        <v>11.7</v>
      </c>
      <c r="G4" s="6" t="n">
        <v>12.1</v>
      </c>
      <c r="H4" s="6" t="n">
        <v>12.6</v>
      </c>
      <c r="I4" s="6" t="n">
        <v>13.2</v>
      </c>
      <c r="J4" s="6" t="n">
        <v>13.8</v>
      </c>
      <c r="K4" s="6" t="n">
        <v>14.4</v>
      </c>
    </row>
    <row r="5">
      <c r="A5" s="2" t="inlineStr">
        <is>
          <t>Content Spend ($B)</t>
        </is>
      </c>
      <c r="B5" s="6" t="n">
        <v>12.2</v>
      </c>
      <c r="C5" s="6" t="n">
        <v>13</v>
      </c>
      <c r="D5" s="6" t="n">
        <v>14.5</v>
      </c>
      <c r="E5" s="6" t="n">
        <v>16</v>
      </c>
      <c r="F5" s="6" t="n">
        <v>17</v>
      </c>
      <c r="G5" s="6" t="n">
        <v>18.5</v>
      </c>
      <c r="H5" s="6" t="n">
        <v>20</v>
      </c>
      <c r="I5" s="6" t="n">
        <v>21.5</v>
      </c>
      <c r="J5" s="6" t="n">
        <v>22.5</v>
      </c>
      <c r="K5" s="6" t="n">
        <v>23.5</v>
      </c>
    </row>
    <row r="6">
      <c r="A6" s="2" t="inlineStr">
        <is>
          <t>Operating Margin %</t>
        </is>
      </c>
      <c r="B6" s="4" t="n">
        <v>20.9</v>
      </c>
      <c r="C6" s="4" t="n">
        <v>18.3</v>
      </c>
      <c r="D6" s="4" t="n">
        <v>21</v>
      </c>
      <c r="E6" s="4" t="n">
        <v>26.7</v>
      </c>
      <c r="F6" s="4" t="n">
        <v>28.1</v>
      </c>
      <c r="G6" s="4" t="n">
        <v>29.5</v>
      </c>
      <c r="H6" s="4" t="n">
        <v>31</v>
      </c>
      <c r="I6" s="4" t="n">
        <v>32</v>
      </c>
      <c r="J6" s="4" t="n">
        <v>33</v>
      </c>
      <c r="K6" s="4" t="n">
        <v>34</v>
      </c>
    </row>
    <row r="7">
      <c r="A7" s="2" t="inlineStr">
        <is>
          <t>CapEx ($B)</t>
        </is>
      </c>
      <c r="B7" s="6" t="n">
        <v>0.5</v>
      </c>
      <c r="C7" s="6" t="n">
        <v>0.5</v>
      </c>
      <c r="D7" s="6" t="n">
        <v>0.5</v>
      </c>
      <c r="E7" s="6" t="n">
        <v>0.6</v>
      </c>
      <c r="F7" s="6" t="n">
        <v>0.7</v>
      </c>
      <c r="G7" s="6" t="n">
        <v>0.8</v>
      </c>
      <c r="H7" s="6" t="n">
        <v>0.9</v>
      </c>
      <c r="I7" s="6" t="n">
        <v>1</v>
      </c>
      <c r="J7" s="6" t="n">
        <v>1.1</v>
      </c>
      <c r="K7" s="6" t="n">
        <v>1.2</v>
      </c>
    </row>
    <row r="8">
      <c r="A8" s="2" t="inlineStr">
        <is>
          <t>Tax Rate %</t>
        </is>
      </c>
      <c r="B8" s="4" t="n">
        <v>15</v>
      </c>
      <c r="C8" s="4" t="n">
        <v>15</v>
      </c>
      <c r="D8" s="4" t="n">
        <v>16</v>
      </c>
      <c r="E8" s="4" t="n">
        <v>17</v>
      </c>
      <c r="F8" s="4" t="n">
        <v>18</v>
      </c>
      <c r="G8" s="4" t="n">
        <v>19</v>
      </c>
      <c r="H8" s="4" t="n">
        <v>19</v>
      </c>
      <c r="I8" s="4" t="n">
        <v>20</v>
      </c>
      <c r="J8" s="4" t="n">
        <v>20</v>
      </c>
      <c r="K8" s="4" t="n">
        <v>20</v>
      </c>
    </row>
    <row r="9">
      <c r="A9" s="2" t="inlineStr">
        <is>
          <t>SBC ($B)</t>
        </is>
      </c>
      <c r="B9" s="6" t="n">
        <v>0.8</v>
      </c>
      <c r="C9" s="6" t="n">
        <v>0.9</v>
      </c>
      <c r="D9" s="6" t="n">
        <v>1</v>
      </c>
      <c r="E9" s="6" t="n">
        <v>1</v>
      </c>
      <c r="F9" s="6" t="n">
        <v>1.1</v>
      </c>
      <c r="G9" s="6" t="n">
        <v>1.2</v>
      </c>
      <c r="H9" s="6" t="n">
        <v>1.3</v>
      </c>
      <c r="I9" s="6" t="n">
        <v>1.4</v>
      </c>
      <c r="J9" s="6" t="n">
        <v>1.5</v>
      </c>
      <c r="K9" s="6" t="n">
        <v>1.6</v>
      </c>
    </row>
    <row r="10">
      <c r="A10" s="2" t="inlineStr">
        <is>
          <t>D&amp;A ($B)</t>
        </is>
      </c>
      <c r="B10" s="6" t="n">
        <v>12</v>
      </c>
      <c r="C10" s="6" t="n">
        <v>12.5</v>
      </c>
      <c r="D10" s="6" t="n">
        <v>13</v>
      </c>
      <c r="E10" s="6" t="n">
        <v>14.2</v>
      </c>
      <c r="F10" s="6" t="n">
        <v>14.8</v>
      </c>
      <c r="G10" s="6" t="n">
        <v>15.5</v>
      </c>
      <c r="H10" s="6" t="n">
        <v>16</v>
      </c>
      <c r="I10" s="6" t="n">
        <v>16.5</v>
      </c>
      <c r="J10" s="6" t="n">
        <v>17</v>
      </c>
      <c r="K10" s="6" t="n">
        <v>17.5</v>
      </c>
    </row>
    <row r="11">
      <c r="A11" s="2" t="inlineStr">
        <is>
          <t>Ad Revenue ($B)</t>
        </is>
      </c>
      <c r="B11" s="6" t="n">
        <v>0</v>
      </c>
      <c r="C11" s="6" t="n">
        <v>0</v>
      </c>
      <c r="D11" s="6" t="n">
        <v>0.5</v>
      </c>
      <c r="E11" s="6" t="n">
        <v>1.5</v>
      </c>
      <c r="F11" s="6" t="n">
        <v>2.4</v>
      </c>
      <c r="G11" s="6" t="n">
        <v>4</v>
      </c>
      <c r="H11" s="6" t="n">
        <v>5.5</v>
      </c>
      <c r="I11" s="6" t="n">
        <v>7</v>
      </c>
      <c r="J11" s="6" t="n">
        <v>8.5</v>
      </c>
      <c r="K11" s="6" t="n">
        <v>10</v>
      </c>
    </row>
    <row r="12">
      <c r="A12" s="2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>
      <c r="A13" s="2" t="inlineStr">
        <is>
          <t>WACC COMPONENTS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" t="inlineStr">
        <is>
          <t>Risk-Free Rate %</t>
        </is>
      </c>
      <c r="B14" s="4" t="n">
        <v>4.3</v>
      </c>
      <c r="C14" s="4" t="n">
        <v>4.3</v>
      </c>
      <c r="D14" s="4" t="n">
        <v>4.3</v>
      </c>
      <c r="E14" s="4" t="n">
        <v>4.3</v>
      </c>
      <c r="F14" s="4" t="n">
        <v>4.3</v>
      </c>
      <c r="G14" s="4" t="n">
        <v>4.3</v>
      </c>
      <c r="H14" s="4" t="n">
        <v>4.3</v>
      </c>
      <c r="I14" s="4" t="n">
        <v>4.3</v>
      </c>
      <c r="J14" s="4" t="n">
        <v>4.3</v>
      </c>
      <c r="K14" s="4" t="n">
        <v>4.3</v>
      </c>
    </row>
    <row r="15">
      <c r="A15" s="2" t="inlineStr">
        <is>
          <t>Equity Risk Premium %</t>
        </is>
      </c>
      <c r="B15" s="4" t="n">
        <v>5.5</v>
      </c>
      <c r="C15" s="4" t="n">
        <v>5.5</v>
      </c>
      <c r="D15" s="4" t="n">
        <v>5.5</v>
      </c>
      <c r="E15" s="4" t="n">
        <v>5.5</v>
      </c>
      <c r="F15" s="4" t="n">
        <v>5.5</v>
      </c>
      <c r="G15" s="4" t="n">
        <v>5.5</v>
      </c>
      <c r="H15" s="4" t="n">
        <v>5.5</v>
      </c>
      <c r="I15" s="4" t="n">
        <v>5.5</v>
      </c>
      <c r="J15" s="4" t="n">
        <v>5.5</v>
      </c>
      <c r="K15" s="4" t="n">
        <v>5.5</v>
      </c>
    </row>
    <row r="16">
      <c r="A16" s="2" t="inlineStr">
        <is>
          <t>Beta</t>
        </is>
      </c>
      <c r="B16" s="6" t="n">
        <v>1.15</v>
      </c>
      <c r="C16" s="6" t="n">
        <v>1.15</v>
      </c>
      <c r="D16" s="6" t="n">
        <v>1.15</v>
      </c>
      <c r="E16" s="6" t="n">
        <v>1.15</v>
      </c>
      <c r="F16" s="6" t="n">
        <v>1.15</v>
      </c>
      <c r="G16" s="6" t="n">
        <v>1.15</v>
      </c>
      <c r="H16" s="6" t="n">
        <v>1.15</v>
      </c>
      <c r="I16" s="6" t="n">
        <v>1.15</v>
      </c>
      <c r="J16" s="6" t="n">
        <v>1.15</v>
      </c>
      <c r="K16" s="6" t="n">
        <v>1.15</v>
      </c>
    </row>
    <row r="17">
      <c r="A17" s="2" t="inlineStr">
        <is>
          <t>Cost of Equity %</t>
        </is>
      </c>
      <c r="B17" s="4" t="n">
        <v>10.6</v>
      </c>
      <c r="C17" s="4" t="n">
        <v>10.6</v>
      </c>
      <c r="D17" s="4" t="n">
        <v>10.6</v>
      </c>
      <c r="E17" s="4" t="n">
        <v>10.6</v>
      </c>
      <c r="F17" s="4" t="n">
        <v>10.6</v>
      </c>
      <c r="G17" s="4" t="n">
        <v>10.6</v>
      </c>
      <c r="H17" s="4" t="n">
        <v>10.6</v>
      </c>
      <c r="I17" s="4" t="n">
        <v>10.6</v>
      </c>
      <c r="J17" s="4" t="n">
        <v>10.6</v>
      </c>
      <c r="K17" s="4" t="n">
        <v>10.6</v>
      </c>
    </row>
    <row r="18">
      <c r="A18" s="2" t="inlineStr">
        <is>
          <t>Cost of Debt %</t>
        </is>
      </c>
      <c r="B18" s="4" t="n">
        <v>4.5</v>
      </c>
      <c r="C18" s="4" t="n">
        <v>4.5</v>
      </c>
      <c r="D18" s="4" t="n">
        <v>4.5</v>
      </c>
      <c r="E18" s="4" t="n">
        <v>4.5</v>
      </c>
      <c r="F18" s="4" t="n">
        <v>4.5</v>
      </c>
      <c r="G18" s="4" t="n">
        <v>4.5</v>
      </c>
      <c r="H18" s="4" t="n">
        <v>4.5</v>
      </c>
      <c r="I18" s="4" t="n">
        <v>4.5</v>
      </c>
      <c r="J18" s="4" t="n">
        <v>4.5</v>
      </c>
      <c r="K18" s="4" t="n">
        <v>4.5</v>
      </c>
    </row>
    <row r="19">
      <c r="A19" s="2" t="inlineStr">
        <is>
          <t>Tax Shield %</t>
        </is>
      </c>
      <c r="B19" s="4" t="n">
        <v>81</v>
      </c>
      <c r="C19" s="4" t="n">
        <v>81</v>
      </c>
      <c r="D19" s="4" t="n">
        <v>84</v>
      </c>
      <c r="E19" s="4" t="n">
        <v>83</v>
      </c>
      <c r="F19" s="4" t="n">
        <v>82</v>
      </c>
      <c r="G19" s="4" t="n">
        <v>81</v>
      </c>
      <c r="H19" s="4" t="n">
        <v>81</v>
      </c>
      <c r="I19" s="4" t="n">
        <v>80</v>
      </c>
      <c r="J19" s="4" t="n">
        <v>80</v>
      </c>
      <c r="K19" s="4" t="n">
        <v>80</v>
      </c>
    </row>
    <row r="20">
      <c r="A20" s="2" t="inlineStr">
        <is>
          <t>WACC %</t>
        </is>
      </c>
      <c r="B20" s="4" t="n">
        <v>9.199999999999999</v>
      </c>
      <c r="C20" s="4" t="n">
        <v>9.199999999999999</v>
      </c>
      <c r="D20" s="4" t="n">
        <v>9.199999999999999</v>
      </c>
      <c r="E20" s="4" t="n">
        <v>9.199999999999999</v>
      </c>
      <c r="F20" s="4" t="n">
        <v>9.199999999999999</v>
      </c>
      <c r="G20" s="4" t="n">
        <v>9.199999999999999</v>
      </c>
      <c r="H20" s="4" t="n">
        <v>9.199999999999999</v>
      </c>
      <c r="I20" s="4" t="n">
        <v>9.199999999999999</v>
      </c>
      <c r="J20" s="4" t="n">
        <v>9.199999999999999</v>
      </c>
      <c r="K20" s="4" t="n">
        <v>9.199999999999999</v>
      </c>
    </row>
    <row r="21">
      <c r="A21" s="2" t="inlineStr">
        <is>
          <t>Terminal Growth Rate %</t>
        </is>
      </c>
      <c r="B21" s="4" t="n">
        <v>3</v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</row>
    <row r="22">
      <c r="A22" s="2" t="inlineStr"/>
      <c r="B22" s="94" t="inlineStr"/>
      <c r="C22" s="94" t="inlineStr"/>
      <c r="D22" s="94" t="inlineStr"/>
      <c r="E22" s="94" t="inlineStr"/>
      <c r="F22" s="94" t="inlineStr"/>
      <c r="G22" s="94" t="inlineStr"/>
      <c r="H22" s="94" t="inlineStr"/>
      <c r="I22" s="94" t="inlineStr"/>
      <c r="J22" s="94" t="inlineStr"/>
      <c r="K22" s="94" t="inlineStr"/>
    </row>
    <row r="23">
      <c r="A23" s="2" t="inlineStr">
        <is>
          <t>REGIONAL ASSUMPTIONS</t>
        </is>
      </c>
      <c r="B23" s="94" t="inlineStr"/>
      <c r="C23" s="94" t="inlineStr"/>
      <c r="D23" s="94" t="inlineStr"/>
      <c r="E23" s="94" t="inlineStr"/>
      <c r="F23" s="94" t="inlineStr"/>
      <c r="G23" s="94" t="inlineStr"/>
      <c r="H23" s="94" t="inlineStr"/>
      <c r="I23" s="94" t="inlineStr"/>
      <c r="J23" s="94" t="inlineStr"/>
      <c r="K23" s="94" t="inlineStr"/>
    </row>
    <row r="24">
      <c r="A24" s="2" t="inlineStr">
        <is>
          <t>UCAN Revenue Mix %</t>
        </is>
      </c>
      <c r="B24" s="4" t="n">
        <v>45</v>
      </c>
      <c r="C24" s="4" t="n">
        <v>45</v>
      </c>
      <c r="D24" s="4" t="n">
        <v>45</v>
      </c>
      <c r="E24" s="4" t="n">
        <v>45</v>
      </c>
      <c r="F24" s="4" t="n">
        <v>45</v>
      </c>
      <c r="G24" s="4" t="n">
        <v>44</v>
      </c>
      <c r="H24" s="4" t="n">
        <v>43</v>
      </c>
      <c r="I24" s="4" t="n">
        <v>42</v>
      </c>
      <c r="J24" s="4" t="n">
        <v>41</v>
      </c>
      <c r="K24" s="4" t="n">
        <v>40</v>
      </c>
    </row>
    <row r="25">
      <c r="A25" s="2" t="inlineStr">
        <is>
          <t>EMEA Revenue Mix %</t>
        </is>
      </c>
      <c r="B25" s="4" t="n">
        <v>30</v>
      </c>
      <c r="C25" s="4" t="n">
        <v>30</v>
      </c>
      <c r="D25" s="4" t="n">
        <v>30</v>
      </c>
      <c r="E25" s="4" t="n">
        <v>30</v>
      </c>
      <c r="F25" s="4" t="n">
        <v>30</v>
      </c>
      <c r="G25" s="4" t="n">
        <v>31</v>
      </c>
      <c r="H25" s="4" t="n">
        <v>32</v>
      </c>
      <c r="I25" s="4" t="n">
        <v>33</v>
      </c>
      <c r="J25" s="4" t="n">
        <v>34</v>
      </c>
      <c r="K25" s="4" t="n">
        <v>35</v>
      </c>
    </row>
    <row r="26">
      <c r="A26" s="2" t="inlineStr">
        <is>
          <t>APAC Revenue Mix %</t>
        </is>
      </c>
      <c r="B26" s="4" t="n">
        <v>18</v>
      </c>
      <c r="C26" s="4" t="n">
        <v>18</v>
      </c>
      <c r="D26" s="4" t="n">
        <v>18</v>
      </c>
      <c r="E26" s="4" t="n">
        <v>18</v>
      </c>
      <c r="F26" s="4" t="n">
        <v>18</v>
      </c>
      <c r="G26" s="4" t="n">
        <v>19</v>
      </c>
      <c r="H26" s="4" t="n">
        <v>20</v>
      </c>
      <c r="I26" s="4" t="n">
        <v>21</v>
      </c>
      <c r="J26" s="4" t="n">
        <v>22</v>
      </c>
      <c r="K26" s="4" t="n">
        <v>23</v>
      </c>
    </row>
    <row r="27">
      <c r="A27" s="2" t="inlineStr">
        <is>
          <t>LATAM Revenue Mix %</t>
        </is>
      </c>
      <c r="B27" s="4" t="n">
        <v>7</v>
      </c>
      <c r="C27" s="4" t="n">
        <v>7</v>
      </c>
      <c r="D27" s="4" t="n">
        <v>7</v>
      </c>
      <c r="E27" s="4" t="n">
        <v>7</v>
      </c>
      <c r="F27" s="4" t="n">
        <v>7</v>
      </c>
      <c r="G27" s="4" t="n">
        <v>6</v>
      </c>
      <c r="H27" s="4" t="n">
        <v>5</v>
      </c>
      <c r="I27" s="4" t="n">
        <v>4</v>
      </c>
      <c r="J27" s="4" t="n">
        <v>3</v>
      </c>
      <c r="K27" s="4" t="n">
        <v>2</v>
      </c>
    </row>
    <row r="28">
      <c r="A28" s="2" t="inlineStr"/>
      <c r="B28" s="94" t="inlineStr"/>
      <c r="C28" s="94" t="inlineStr"/>
      <c r="D28" s="94" t="inlineStr"/>
      <c r="E28" s="94" t="inlineStr"/>
      <c r="F28" s="94" t="inlineStr"/>
      <c r="G28" s="94" t="inlineStr"/>
      <c r="H28" s="94" t="inlineStr"/>
      <c r="I28" s="94" t="inlineStr"/>
      <c r="J28" s="94" t="inlineStr"/>
      <c r="K28" s="94" t="inlineStr"/>
    </row>
    <row r="29">
      <c r="A29" s="2" t="inlineStr">
        <is>
          <t>CONTENT METRICS</t>
        </is>
      </c>
      <c r="B29" s="94" t="inlineStr"/>
      <c r="C29" s="94" t="inlineStr"/>
      <c r="D29" s="94" t="inlineStr"/>
      <c r="E29" s="94" t="inlineStr"/>
      <c r="F29" s="94" t="inlineStr"/>
      <c r="G29" s="94" t="inlineStr"/>
      <c r="H29" s="94" t="inlineStr"/>
      <c r="I29" s="94" t="inlineStr"/>
      <c r="J29" s="94" t="inlineStr"/>
      <c r="K29" s="94" t="inlineStr"/>
    </row>
    <row r="30">
      <c r="A30" s="2" t="inlineStr">
        <is>
          <t>Originals as % of slate</t>
        </is>
      </c>
      <c r="B30" s="4" t="n">
        <v>55</v>
      </c>
      <c r="C30" s="4" t="n">
        <v>60</v>
      </c>
      <c r="D30" s="4" t="n">
        <v>63</v>
      </c>
      <c r="E30" s="4" t="n">
        <v>65</v>
      </c>
      <c r="F30" s="4" t="n">
        <v>67</v>
      </c>
      <c r="G30" s="4" t="n">
        <v>70</v>
      </c>
      <c r="H30" s="4" t="n">
        <v>72</v>
      </c>
      <c r="I30" s="4" t="n">
        <v>74</v>
      </c>
      <c r="J30" s="4" t="n">
        <v>75</v>
      </c>
      <c r="K30" s="4" t="n">
        <v>76</v>
      </c>
    </row>
    <row r="31">
      <c r="A31" s="2" t="inlineStr">
        <is>
          <t>Licensed as % of slate</t>
        </is>
      </c>
      <c r="B31" s="4" t="n">
        <v>45</v>
      </c>
      <c r="C31" s="4" t="n">
        <v>40</v>
      </c>
      <c r="D31" s="4" t="n">
        <v>37</v>
      </c>
      <c r="E31" s="4" t="n">
        <v>35</v>
      </c>
      <c r="F31" s="4" t="n">
        <v>33</v>
      </c>
      <c r="G31" s="4" t="n">
        <v>30</v>
      </c>
      <c r="H31" s="4" t="n">
        <v>28</v>
      </c>
      <c r="I31" s="4" t="n">
        <v>26</v>
      </c>
      <c r="J31" s="4" t="n">
        <v>25</v>
      </c>
      <c r="K31" s="4" t="n">
        <v>24</v>
      </c>
    </row>
    <row r="32">
      <c r="A32" s="2" t="inlineStr">
        <is>
          <t>Content library titles</t>
        </is>
      </c>
      <c r="B32" s="5" t="n">
        <v>3500</v>
      </c>
      <c r="C32" s="5" t="n">
        <v>3800</v>
      </c>
      <c r="D32" s="5" t="n">
        <v>4100</v>
      </c>
      <c r="E32" s="5" t="n">
        <v>4500</v>
      </c>
      <c r="F32" s="5" t="n">
        <v>5000</v>
      </c>
      <c r="G32" s="5" t="n">
        <v>5500</v>
      </c>
      <c r="H32" s="5" t="n">
        <v>6000</v>
      </c>
      <c r="I32" s="5" t="n">
        <v>6500</v>
      </c>
      <c r="J32" s="5" t="n">
        <v>7000</v>
      </c>
      <c r="K32" s="5" t="n">
        <v>7500</v>
      </c>
    </row>
    <row r="33">
      <c r="A33" s="2" t="inlineStr">
        <is>
          <t>Games released/year</t>
        </is>
      </c>
      <c r="B33" s="5" t="n">
        <v>15</v>
      </c>
      <c r="C33" s="5" t="n">
        <v>20</v>
      </c>
      <c r="D33" s="5" t="n">
        <v>25</v>
      </c>
      <c r="E33" s="5" t="n">
        <v>30</v>
      </c>
      <c r="F33" s="5" t="n">
        <v>35</v>
      </c>
      <c r="G33" s="5" t="n">
        <v>40</v>
      </c>
      <c r="H33" s="5" t="n">
        <v>45</v>
      </c>
      <c r="I33" s="5" t="n">
        <v>50</v>
      </c>
      <c r="J33" s="5" t="n">
        <v>55</v>
      </c>
      <c r="K33" s="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Metric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2029E</t>
        </is>
      </c>
      <c r="K1" s="8" t="inlineStr">
        <is>
          <t>2030E</t>
        </is>
      </c>
    </row>
    <row r="2">
      <c r="A2" s="2" t="inlineStr">
        <is>
          <t>Subscription Revenue</t>
        </is>
      </c>
      <c r="B2" s="9">
        <f>Assumptions!B3*Assumptions!B4*12</f>
        <v/>
      </c>
      <c r="C2" s="9">
        <f>Assumptions!C3*Assumptions!C4*12</f>
        <v/>
      </c>
      <c r="D2" s="9">
        <f>Assumptions!D3*Assumptions!D4*12</f>
        <v/>
      </c>
      <c r="E2" s="9">
        <f>Assumptions!E3*Assumptions!E4*12</f>
        <v/>
      </c>
      <c r="F2" s="9">
        <f>Assumptions!F3*Assumptions!F4*12</f>
        <v/>
      </c>
      <c r="G2" s="9">
        <f>Assumptions!G3*Assumptions!G4*12</f>
        <v/>
      </c>
      <c r="H2" s="9">
        <f>Assumptions!H3*Assumptions!H4*12</f>
        <v/>
      </c>
      <c r="I2" s="9">
        <f>Assumptions!I3*Assumptions!I4*12</f>
        <v/>
      </c>
      <c r="J2" s="9">
        <f>Assumptions!J3*Assumptions!J4*12</f>
        <v/>
      </c>
      <c r="K2" s="9">
        <f>Assumptions!K3*Assumptions!K4*12</f>
        <v/>
      </c>
    </row>
    <row r="3">
      <c r="A3" s="2" t="inlineStr">
        <is>
          <t>Advertising Revenue</t>
        </is>
      </c>
      <c r="B3" s="10">
        <f>Assumptions!B10</f>
        <v/>
      </c>
      <c r="C3" s="10">
        <f>Assumptions!C10</f>
        <v/>
      </c>
      <c r="D3" s="10">
        <f>Assumptions!D10</f>
        <v/>
      </c>
      <c r="E3" s="10">
        <f>Assumptions!E10</f>
        <v/>
      </c>
      <c r="F3" s="10">
        <f>Assumptions!F10</f>
        <v/>
      </c>
      <c r="G3" s="10">
        <f>Assumptions!G10</f>
        <v/>
      </c>
      <c r="H3" s="10">
        <f>Assumptions!H10</f>
        <v/>
      </c>
      <c r="I3" s="10">
        <f>Assumptions!I10</f>
        <v/>
      </c>
      <c r="J3" s="10">
        <f>Assumptions!J10</f>
        <v/>
      </c>
      <c r="K3" s="10">
        <f>Assumptions!K10</f>
        <v/>
      </c>
    </row>
    <row r="4">
      <c r="A4" s="2" t="inlineStr">
        <is>
          <t>Total Revenue</t>
        </is>
      </c>
      <c r="B4" s="9">
        <f>B2+B3</f>
        <v/>
      </c>
      <c r="C4" s="9">
        <f>C2+C3</f>
        <v/>
      </c>
      <c r="D4" s="9">
        <f>D2+D3</f>
        <v/>
      </c>
      <c r="E4" s="9">
        <f>E2+E3</f>
        <v/>
      </c>
      <c r="F4" s="9">
        <f>F2+F3</f>
        <v/>
      </c>
      <c r="G4" s="9">
        <f>G2+G3</f>
        <v/>
      </c>
      <c r="H4" s="9">
        <f>H2+H3</f>
        <v/>
      </c>
      <c r="I4" s="9">
        <f>I2+I3</f>
        <v/>
      </c>
      <c r="J4" s="9">
        <f>J2+J3</f>
        <v/>
      </c>
      <c r="K4" s="9">
        <f>K2+K3</f>
        <v/>
      </c>
    </row>
    <row r="5">
      <c r="A5" s="2" t="inlineStr">
        <is>
          <t>Cost of Revenue</t>
        </is>
      </c>
      <c r="B5" s="9">
        <f>B4*0.30</f>
        <v/>
      </c>
      <c r="C5" s="9">
        <f>C4*0.30</f>
        <v/>
      </c>
      <c r="D5" s="9">
        <f>D4*0.30</f>
        <v/>
      </c>
      <c r="E5" s="9">
        <f>E4*0.30</f>
        <v/>
      </c>
      <c r="F5" s="9">
        <f>F4*0.30</f>
        <v/>
      </c>
      <c r="G5" s="9">
        <f>G4*0.30</f>
        <v/>
      </c>
      <c r="H5" s="9">
        <f>H4*0.30</f>
        <v/>
      </c>
      <c r="I5" s="9">
        <f>I4*0.30</f>
        <v/>
      </c>
      <c r="J5" s="9">
        <f>J4*0.30</f>
        <v/>
      </c>
      <c r="K5" s="9">
        <f>K4*0.30</f>
        <v/>
      </c>
    </row>
    <row r="6">
      <c r="A6" s="2" t="inlineStr">
        <is>
          <t>Gross Profit</t>
        </is>
      </c>
      <c r="B6" s="9">
        <f>B4-B5</f>
        <v/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  <c r="G6" s="9">
        <f>G4-G5</f>
        <v/>
      </c>
      <c r="H6" s="9">
        <f>H4-H5</f>
        <v/>
      </c>
      <c r="I6" s="9">
        <f>I4-I5</f>
        <v/>
      </c>
      <c r="J6" s="9">
        <f>J4-J5</f>
        <v/>
      </c>
      <c r="K6" s="9">
        <f>K4-K5</f>
        <v/>
      </c>
    </row>
    <row r="7">
      <c r="A7" s="2" t="inlineStr">
        <is>
          <t>Gross Margin %</t>
        </is>
      </c>
      <c r="B7" s="11">
        <f>IFERROR(B6/B4,0)</f>
        <v/>
      </c>
      <c r="C7" s="11">
        <f>IFERROR(C6/C4,0)</f>
        <v/>
      </c>
      <c r="D7" s="11">
        <f>IFERROR(D6/D4,0)</f>
        <v/>
      </c>
      <c r="E7" s="11">
        <f>IFERROR(E6/E4,0)</f>
        <v/>
      </c>
      <c r="F7" s="11">
        <f>IFERROR(F6/F4,0)</f>
        <v/>
      </c>
      <c r="G7" s="11">
        <f>IFERROR(G6/G4,0)</f>
        <v/>
      </c>
      <c r="H7" s="11">
        <f>IFERROR(H6/H4,0)</f>
        <v/>
      </c>
      <c r="I7" s="11">
        <f>IFERROR(I6/I4,0)</f>
        <v/>
      </c>
      <c r="J7" s="11">
        <f>IFERROR(J6/J4,0)</f>
        <v/>
      </c>
      <c r="K7" s="11">
        <f>IFERROR(K6/K4,0)</f>
        <v/>
      </c>
    </row>
    <row r="8">
      <c r="A8" s="2" t="inlineStr"/>
    </row>
    <row r="9">
      <c r="A9" s="2" t="inlineStr">
        <is>
          <t>R&amp;D Expense</t>
        </is>
      </c>
      <c r="B9" s="9">
        <f>B4*0.035</f>
        <v/>
      </c>
      <c r="C9" s="9">
        <f>C4*0.035</f>
        <v/>
      </c>
      <c r="D9" s="9">
        <f>D4*0.035</f>
        <v/>
      </c>
      <c r="E9" s="9">
        <f>E4*0.035</f>
        <v/>
      </c>
      <c r="F9" s="9">
        <f>F4*0.035</f>
        <v/>
      </c>
      <c r="G9" s="9">
        <f>G4*0.035</f>
        <v/>
      </c>
      <c r="H9" s="9">
        <f>H4*0.035</f>
        <v/>
      </c>
      <c r="I9" s="9">
        <f>I4*0.035</f>
        <v/>
      </c>
      <c r="J9" s="9">
        <f>J4*0.035</f>
        <v/>
      </c>
      <c r="K9" s="9">
        <f>K4*0.035</f>
        <v/>
      </c>
    </row>
    <row r="10">
      <c r="A10" s="2" t="inlineStr">
        <is>
          <t>Sales &amp; Marketing</t>
        </is>
      </c>
      <c r="B10" s="9">
        <f>B4*0.08</f>
        <v/>
      </c>
      <c r="C10" s="9">
        <f>C4*0.08</f>
        <v/>
      </c>
      <c r="D10" s="9">
        <f>D4*0.08</f>
        <v/>
      </c>
      <c r="E10" s="9">
        <f>E4*0.08</f>
        <v/>
      </c>
      <c r="F10" s="9">
        <f>F4*0.08</f>
        <v/>
      </c>
      <c r="G10" s="9">
        <f>G4*0.08</f>
        <v/>
      </c>
      <c r="H10" s="9">
        <f>H4*0.08</f>
        <v/>
      </c>
      <c r="I10" s="9">
        <f>I4*0.08</f>
        <v/>
      </c>
      <c r="J10" s="9">
        <f>J4*0.08</f>
        <v/>
      </c>
      <c r="K10" s="9">
        <f>K4*0.08</f>
        <v/>
      </c>
    </row>
    <row r="11">
      <c r="A11" s="2" t="inlineStr">
        <is>
          <t>G&amp;A Expense</t>
        </is>
      </c>
      <c r="B11" s="9">
        <f>B4*0.04</f>
        <v/>
      </c>
      <c r="C11" s="9">
        <f>C4*0.04</f>
        <v/>
      </c>
      <c r="D11" s="9">
        <f>D4*0.04</f>
        <v/>
      </c>
      <c r="E11" s="9">
        <f>E4*0.04</f>
        <v/>
      </c>
      <c r="F11" s="9">
        <f>F4*0.04</f>
        <v/>
      </c>
      <c r="G11" s="9">
        <f>G4*0.04</f>
        <v/>
      </c>
      <c r="H11" s="9">
        <f>H4*0.04</f>
        <v/>
      </c>
      <c r="I11" s="9">
        <f>I4*0.04</f>
        <v/>
      </c>
      <c r="J11" s="9">
        <f>J4*0.04</f>
        <v/>
      </c>
      <c r="K11" s="9">
        <f>K4*0.04</f>
        <v/>
      </c>
    </row>
    <row r="12">
      <c r="A12" s="2" t="inlineStr">
        <is>
          <t>Total OpEx</t>
        </is>
      </c>
      <c r="B12" s="9">
        <f>B9+B10+B11</f>
        <v/>
      </c>
      <c r="C12" s="9">
        <f>C9+C10+C11</f>
        <v/>
      </c>
      <c r="D12" s="9">
        <f>D9+D10+D11</f>
        <v/>
      </c>
      <c r="E12" s="9">
        <f>E9+E10+E11</f>
        <v/>
      </c>
      <c r="F12" s="9">
        <f>F9+F10+F11</f>
        <v/>
      </c>
      <c r="G12" s="9">
        <f>G9+G10+G11</f>
        <v/>
      </c>
      <c r="H12" s="9">
        <f>H9+H10+H11</f>
        <v/>
      </c>
      <c r="I12" s="9">
        <f>I9+I10+I11</f>
        <v/>
      </c>
      <c r="J12" s="9">
        <f>J9+J10+J11</f>
        <v/>
      </c>
      <c r="K12" s="9">
        <f>K9+K10+K11</f>
        <v/>
      </c>
    </row>
    <row r="13">
      <c r="A13" s="2" t="inlineStr"/>
    </row>
    <row r="14">
      <c r="A14" s="2" t="inlineStr">
        <is>
          <t>Operating Income</t>
        </is>
      </c>
      <c r="B14" s="9">
        <f>B6-B12</f>
        <v/>
      </c>
      <c r="C14" s="9">
        <f>C6-C12</f>
        <v/>
      </c>
      <c r="D14" s="9">
        <f>D6-D12</f>
        <v/>
      </c>
      <c r="E14" s="9">
        <f>E6-E12</f>
        <v/>
      </c>
      <c r="F14" s="9">
        <f>F6-F12</f>
        <v/>
      </c>
      <c r="G14" s="9">
        <f>G6-G12</f>
        <v/>
      </c>
      <c r="H14" s="9">
        <f>H6-H12</f>
        <v/>
      </c>
      <c r="I14" s="9">
        <f>I6-I12</f>
        <v/>
      </c>
      <c r="J14" s="9">
        <f>J6-J12</f>
        <v/>
      </c>
      <c r="K14" s="9">
        <f>K6-K12</f>
        <v/>
      </c>
    </row>
    <row r="15">
      <c r="A15" s="2" t="inlineStr">
        <is>
          <t>Operating Margin %</t>
        </is>
      </c>
      <c r="B15" s="11">
        <f>IFERROR(B14/B4,0)</f>
        <v/>
      </c>
      <c r="C15" s="11">
        <f>IFERROR(C14/C4,0)</f>
        <v/>
      </c>
      <c r="D15" s="11">
        <f>IFERROR(D14/D4,0)</f>
        <v/>
      </c>
      <c r="E15" s="11">
        <f>IFERROR(E14/E4,0)</f>
        <v/>
      </c>
      <c r="F15" s="11">
        <f>IFERROR(F14/F4,0)</f>
        <v/>
      </c>
      <c r="G15" s="11">
        <f>IFERROR(G14/G4,0)</f>
        <v/>
      </c>
      <c r="H15" s="11">
        <f>IFERROR(H14/H4,0)</f>
        <v/>
      </c>
      <c r="I15" s="11">
        <f>IFERROR(I14/I4,0)</f>
        <v/>
      </c>
      <c r="J15" s="11">
        <f>IFERROR(J14/J4,0)</f>
        <v/>
      </c>
      <c r="K15" s="11">
        <f>IFERROR(K14/K4,0)</f>
        <v/>
      </c>
    </row>
    <row r="16">
      <c r="A16" s="2" t="inlineStr">
        <is>
          <t>Interest Expense</t>
        </is>
      </c>
      <c r="B16" s="12">
        <f>-500</f>
        <v/>
      </c>
      <c r="C16" s="12">
        <f>-500</f>
        <v/>
      </c>
      <c r="D16" s="12">
        <f>-500</f>
        <v/>
      </c>
      <c r="E16" s="12">
        <f>-500</f>
        <v/>
      </c>
      <c r="F16" s="12">
        <f>-500</f>
        <v/>
      </c>
      <c r="G16" s="12">
        <f>-500</f>
        <v/>
      </c>
      <c r="H16" s="12">
        <f>-500</f>
        <v/>
      </c>
      <c r="I16" s="12">
        <f>-500</f>
        <v/>
      </c>
      <c r="J16" s="12">
        <f>-500</f>
        <v/>
      </c>
      <c r="K16" s="12">
        <f>-500</f>
        <v/>
      </c>
    </row>
    <row r="17">
      <c r="A17" s="2" t="inlineStr">
        <is>
          <t>Other Income</t>
        </is>
      </c>
      <c r="B17" s="12">
        <f>200</f>
        <v/>
      </c>
      <c r="C17" s="12">
        <f>200</f>
        <v/>
      </c>
      <c r="D17" s="12">
        <f>200</f>
        <v/>
      </c>
      <c r="E17" s="12">
        <f>200</f>
        <v/>
      </c>
      <c r="F17" s="12">
        <f>200</f>
        <v/>
      </c>
      <c r="G17" s="12">
        <f>200</f>
        <v/>
      </c>
      <c r="H17" s="12">
        <f>200</f>
        <v/>
      </c>
      <c r="I17" s="12">
        <f>200</f>
        <v/>
      </c>
      <c r="J17" s="12">
        <f>200</f>
        <v/>
      </c>
      <c r="K17" s="12">
        <f>200</f>
        <v/>
      </c>
    </row>
    <row r="18">
      <c r="A18" s="2" t="inlineStr"/>
    </row>
    <row r="19">
      <c r="A19" s="2" t="inlineStr">
        <is>
          <t>Pre-Tax Income</t>
        </is>
      </c>
      <c r="B19" s="9">
        <f>B14+B16+B17</f>
        <v/>
      </c>
      <c r="C19" s="9">
        <f>C14+C16+C17</f>
        <v/>
      </c>
      <c r="D19" s="9">
        <f>D14+D16+D17</f>
        <v/>
      </c>
      <c r="E19" s="9">
        <f>E14+E16+E17</f>
        <v/>
      </c>
      <c r="F19" s="9">
        <f>F14+F16+F17</f>
        <v/>
      </c>
      <c r="G19" s="9">
        <f>G14+G16+G17</f>
        <v/>
      </c>
      <c r="H19" s="9">
        <f>H14+H16+H17</f>
        <v/>
      </c>
      <c r="I19" s="9">
        <f>I14+I16+I17</f>
        <v/>
      </c>
      <c r="J19" s="9">
        <f>J14+J16+J17</f>
        <v/>
      </c>
      <c r="K19" s="9">
        <f>K14+K16+K17</f>
        <v/>
      </c>
    </row>
    <row r="20">
      <c r="A20" s="2" t="inlineStr">
        <is>
          <t>Tax Expense</t>
        </is>
      </c>
      <c r="B20" s="9">
        <f>B19*Assumptions!B7</f>
        <v/>
      </c>
      <c r="C20" s="9">
        <f>C19*Assumptions!C7</f>
        <v/>
      </c>
      <c r="D20" s="9">
        <f>D19*Assumptions!D7</f>
        <v/>
      </c>
      <c r="E20" s="9">
        <f>E19*Assumptions!E7</f>
        <v/>
      </c>
      <c r="F20" s="9">
        <f>F19*Assumptions!F7</f>
        <v/>
      </c>
      <c r="G20" s="9">
        <f>G19*Assumptions!G7</f>
        <v/>
      </c>
      <c r="H20" s="9">
        <f>H19*Assumptions!H7</f>
        <v/>
      </c>
      <c r="I20" s="9">
        <f>I19*Assumptions!I7</f>
        <v/>
      </c>
      <c r="J20" s="9">
        <f>J19*Assumptions!J7</f>
        <v/>
      </c>
      <c r="K20" s="9">
        <f>K19*Assumptions!K7</f>
        <v/>
      </c>
    </row>
    <row r="21">
      <c r="A21" s="2" t="inlineStr">
        <is>
          <t>Net Income</t>
        </is>
      </c>
      <c r="B21" s="9">
        <f>B19-B20</f>
        <v/>
      </c>
      <c r="C21" s="9">
        <f>C19-C20</f>
        <v/>
      </c>
      <c r="D21" s="9">
        <f>D19-D20</f>
        <v/>
      </c>
      <c r="E21" s="9">
        <f>E19-E20</f>
        <v/>
      </c>
      <c r="F21" s="9">
        <f>F19-F20</f>
        <v/>
      </c>
      <c r="G21" s="9">
        <f>G19-G20</f>
        <v/>
      </c>
      <c r="H21" s="9">
        <f>H19-H20</f>
        <v/>
      </c>
      <c r="I21" s="9">
        <f>I19-I20</f>
        <v/>
      </c>
      <c r="J21" s="9">
        <f>J19-J20</f>
        <v/>
      </c>
      <c r="K21" s="9">
        <f>K19-K20</f>
        <v/>
      </c>
    </row>
    <row r="22">
      <c r="A22" s="2" t="inlineStr"/>
    </row>
    <row r="23">
      <c r="A23" s="2" t="inlineStr">
        <is>
          <t>Shares Outstanding (M)</t>
        </is>
      </c>
      <c r="B23" s="13">
        <f>425.5</f>
        <v/>
      </c>
      <c r="C23" s="13">
        <f>425.5</f>
        <v/>
      </c>
      <c r="D23" s="13">
        <f>425.5</f>
        <v/>
      </c>
      <c r="E23" s="13">
        <f>425.5</f>
        <v/>
      </c>
      <c r="F23" s="13">
        <f>425.5</f>
        <v/>
      </c>
      <c r="G23" s="13">
        <f>425.5</f>
        <v/>
      </c>
      <c r="H23" s="13">
        <f>425.5</f>
        <v/>
      </c>
      <c r="I23" s="13">
        <f>425.5</f>
        <v/>
      </c>
      <c r="J23" s="13">
        <f>425.5</f>
        <v/>
      </c>
      <c r="K23" s="13">
        <f>425.5</f>
        <v/>
      </c>
    </row>
    <row r="24">
      <c r="A24" s="2" t="inlineStr">
        <is>
          <t>EPS</t>
        </is>
      </c>
      <c r="B24" s="14">
        <f>IFERROR(B21/B23,0)</f>
        <v/>
      </c>
      <c r="C24" s="14">
        <f>IFERROR(C21/C23,0)</f>
        <v/>
      </c>
      <c r="D24" s="14">
        <f>IFERROR(D21/D23,0)</f>
        <v/>
      </c>
      <c r="E24" s="14">
        <f>IFERROR(E21/E23,0)</f>
        <v/>
      </c>
      <c r="F24" s="14">
        <f>IFERROR(F21/F23,0)</f>
        <v/>
      </c>
      <c r="G24" s="14">
        <f>IFERROR(G21/G23,0)</f>
        <v/>
      </c>
      <c r="H24" s="14">
        <f>IFERROR(H21/H23,0)</f>
        <v/>
      </c>
      <c r="I24" s="14">
        <f>IFERROR(I21/I23,0)</f>
        <v/>
      </c>
      <c r="J24" s="14">
        <f>IFERROR(J21/J23,0)</f>
        <v/>
      </c>
      <c r="K24" s="14">
        <f>IFERROR(K21/K23,0)</f>
        <v/>
      </c>
    </row>
    <row r="25">
      <c r="A25" s="2" t="inlineStr"/>
    </row>
    <row r="26">
      <c r="A26" s="2" t="inlineStr">
        <is>
          <t>EBITDA</t>
        </is>
      </c>
      <c r="B26" s="9">
        <f>B14+Assumptions!B9</f>
        <v/>
      </c>
      <c r="C26" s="9">
        <f>C14+Assumptions!C9</f>
        <v/>
      </c>
      <c r="D26" s="9">
        <f>D14+Assumptions!D9</f>
        <v/>
      </c>
      <c r="E26" s="9">
        <f>E14+Assumptions!E9</f>
        <v/>
      </c>
      <c r="F26" s="9">
        <f>F14+Assumptions!F9</f>
        <v/>
      </c>
      <c r="G26" s="9">
        <f>G14+Assumptions!G9</f>
        <v/>
      </c>
      <c r="H26" s="9">
        <f>H14+Assumptions!H9</f>
        <v/>
      </c>
      <c r="I26" s="9">
        <f>I14+Assumptions!I9</f>
        <v/>
      </c>
      <c r="J26" s="9">
        <f>J14+Assumptions!J9</f>
        <v/>
      </c>
      <c r="K26" s="9">
        <f>K14+Assumptions!K9</f>
        <v/>
      </c>
    </row>
    <row r="27">
      <c r="A27" s="2" t="inlineStr">
        <is>
          <t>EBITDA Margin %</t>
        </is>
      </c>
      <c r="B27" s="11">
        <f>IFERROR(B26/B4,0)</f>
        <v/>
      </c>
      <c r="C27" s="11">
        <f>IFERROR(C26/C4,0)</f>
        <v/>
      </c>
      <c r="D27" s="11">
        <f>IFERROR(D26/D4,0)</f>
        <v/>
      </c>
      <c r="E27" s="11">
        <f>IFERROR(E26/E4,0)</f>
        <v/>
      </c>
      <c r="F27" s="11">
        <f>IFERROR(F26/F4,0)</f>
        <v/>
      </c>
      <c r="G27" s="11">
        <f>IFERROR(G26/G4,0)</f>
        <v/>
      </c>
      <c r="H27" s="11">
        <f>IFERROR(H26/H4,0)</f>
        <v/>
      </c>
      <c r="I27" s="11">
        <f>IFERROR(I26/I4,0)</f>
        <v/>
      </c>
      <c r="J27" s="11">
        <f>IFERROR(J26/J4,0)</f>
        <v/>
      </c>
      <c r="K27" s="11">
        <f>IFERROR(K26/K4,0)</f>
        <v/>
      </c>
    </row>
    <row r="28">
      <c r="A28" s="2" t="inlineStr">
        <is>
          <t>FCF</t>
        </is>
      </c>
      <c r="B28" s="9">
        <f>B21+Assumptions!B9-Assumptions!B6</f>
        <v/>
      </c>
      <c r="C28" s="9">
        <f>C21+Assumptions!C9-Assumptions!C6</f>
        <v/>
      </c>
      <c r="D28" s="9">
        <f>D21+Assumptions!D9-Assumptions!D6</f>
        <v/>
      </c>
      <c r="E28" s="9">
        <f>E21+Assumptions!E9-Assumptions!E6</f>
        <v/>
      </c>
      <c r="F28" s="9">
        <f>F21+Assumptions!F9-Assumptions!F6</f>
        <v/>
      </c>
      <c r="G28" s="9">
        <f>G21+Assumptions!G9-Assumptions!G6</f>
        <v/>
      </c>
      <c r="H28" s="9">
        <f>H21+Assumptions!H9-Assumptions!H6</f>
        <v/>
      </c>
      <c r="I28" s="9">
        <f>I21+Assumptions!I9-Assumptions!I6</f>
        <v/>
      </c>
      <c r="J28" s="9">
        <f>J21+Assumptions!J9-Assumptions!J6</f>
        <v/>
      </c>
      <c r="K28" s="9">
        <f>K21+Assumptions!K9-Assumptions!K6</f>
        <v/>
      </c>
    </row>
    <row r="29">
      <c r="A29" s="2" t="inlineStr">
        <is>
          <t>FCF Margin %</t>
        </is>
      </c>
      <c r="B29" s="11">
        <f>IFERROR(B28/B4,0)</f>
        <v/>
      </c>
      <c r="C29" s="11">
        <f>IFERROR(C28/C4,0)</f>
        <v/>
      </c>
      <c r="D29" s="11">
        <f>IFERROR(D28/D4,0)</f>
        <v/>
      </c>
      <c r="E29" s="11">
        <f>IFERROR(E28/E4,0)</f>
        <v/>
      </c>
      <c r="F29" s="11">
        <f>IFERROR(F28/F4,0)</f>
        <v/>
      </c>
      <c r="G29" s="11">
        <f>IFERROR(G28/G4,0)</f>
        <v/>
      </c>
      <c r="H29" s="11">
        <f>IFERROR(H28/H4,0)</f>
        <v/>
      </c>
      <c r="I29" s="11">
        <f>IFERROR(I28/I4,0)</f>
        <v/>
      </c>
      <c r="J29" s="11">
        <f>IFERROR(J28/J4,0)</f>
        <v/>
      </c>
      <c r="K29" s="11">
        <f>IFERROR(K28/K4,0)</f>
        <v/>
      </c>
    </row>
    <row r="31">
      <c r="A31" s="2" t="inlineStr"/>
      <c r="B31" s="95" t="inlineStr"/>
      <c r="C31" s="95" t="inlineStr"/>
      <c r="D31" s="95" t="inlineStr"/>
      <c r="E31" s="95" t="inlineStr"/>
      <c r="F31" s="95" t="inlineStr"/>
      <c r="G31" s="95" t="inlineStr"/>
      <c r="H31" s="95" t="inlineStr"/>
      <c r="I31" s="95" t="inlineStr"/>
      <c r="J31" s="95" t="inlineStr"/>
      <c r="K31" s="95" t="inlineStr"/>
    </row>
    <row r="32">
      <c r="A32" s="2" t="inlineStr">
        <is>
          <t>MARGINS ANALYSIS</t>
        </is>
      </c>
      <c r="B32" s="95" t="inlineStr"/>
      <c r="C32" s="95" t="inlineStr"/>
      <c r="D32" s="95" t="inlineStr"/>
      <c r="E32" s="95" t="inlineStr"/>
      <c r="F32" s="95" t="inlineStr"/>
      <c r="G32" s="95" t="inlineStr"/>
      <c r="H32" s="95" t="inlineStr"/>
      <c r="I32" s="95" t="inlineStr"/>
      <c r="J32" s="95" t="inlineStr"/>
      <c r="K32" s="95" t="inlineStr"/>
    </row>
    <row r="33">
      <c r="A33" s="2" t="inlineStr">
        <is>
          <t>Contribution Margin %</t>
        </is>
      </c>
      <c r="B33" s="96">
        <f>IFERROR((B2-B5)*100/B2,0)</f>
        <v/>
      </c>
      <c r="C33" s="96">
        <f>IFERROR((C2-C5)*100/C2,0)</f>
        <v/>
      </c>
      <c r="D33" s="96">
        <f>IFERROR((D2-D5)*100/D2,0)</f>
        <v/>
      </c>
      <c r="E33" s="96">
        <f>IFERROR((E2-E5)*100/E2,0)</f>
        <v/>
      </c>
      <c r="F33" s="96">
        <f>IFERROR((F2-F5)*100/F2,0)</f>
        <v/>
      </c>
      <c r="G33" s="96">
        <f>IFERROR((G2-G5)*100/G2,0)</f>
        <v/>
      </c>
      <c r="H33" s="96">
        <f>IFERROR((H2-H5)*100/H2,0)</f>
        <v/>
      </c>
      <c r="I33" s="96">
        <f>IFERROR((I2-I5)*100/I2,0)</f>
        <v/>
      </c>
      <c r="J33" s="96">
        <f>IFERROR((J2-J5)*100/J2,0)</f>
        <v/>
      </c>
      <c r="K33" s="96">
        <f>IFERROR((K2-K5)*100/K2,0)</f>
        <v/>
      </c>
    </row>
    <row r="34">
      <c r="A34" s="2" t="inlineStr">
        <is>
          <t>SG&amp;A as % of Revenue</t>
        </is>
      </c>
      <c r="B34" s="35">
        <f>IFERROR((B9+B10+B11)/B4,0)</f>
        <v/>
      </c>
      <c r="C34" s="35">
        <f>IFERROR((C9+C10+C11)/C4,0)</f>
        <v/>
      </c>
      <c r="D34" s="35">
        <f>IFERROR((D9+D10+D11)/D4,0)</f>
        <v/>
      </c>
      <c r="E34" s="35">
        <f>IFERROR((E9+E10+E11)/E4,0)</f>
        <v/>
      </c>
      <c r="F34" s="35">
        <f>IFERROR((F9+F10+F11)/F4,0)</f>
        <v/>
      </c>
      <c r="G34" s="35">
        <f>IFERROR((G9+G10+G11)/G4,0)</f>
        <v/>
      </c>
      <c r="H34" s="35">
        <f>IFERROR((H9+H10+H11)/H4,0)</f>
        <v/>
      </c>
      <c r="I34" s="35">
        <f>IFERROR((I9+I10+I11)/I4,0)</f>
        <v/>
      </c>
      <c r="J34" s="35">
        <f>IFERROR((J9+J10+J11)/J4,0)</f>
        <v/>
      </c>
      <c r="K34" s="35">
        <f>IFERROR((K9+K10+K11)/K4,0)</f>
        <v/>
      </c>
    </row>
    <row r="35">
      <c r="A35" s="2" t="inlineStr"/>
      <c r="B35" s="95" t="inlineStr"/>
      <c r="C35" s="95" t="inlineStr"/>
      <c r="D35" s="95" t="inlineStr"/>
      <c r="E35" s="95" t="inlineStr"/>
      <c r="F35" s="95" t="inlineStr"/>
      <c r="G35" s="95" t="inlineStr"/>
      <c r="H35" s="95" t="inlineStr"/>
      <c r="I35" s="95" t="inlineStr"/>
      <c r="J35" s="95" t="inlineStr"/>
      <c r="K35" s="95" t="inlineStr"/>
    </row>
    <row r="36">
      <c r="A36" s="2" t="inlineStr">
        <is>
          <t>CASH METRICS</t>
        </is>
      </c>
      <c r="B36" s="95" t="inlineStr"/>
      <c r="C36" s="95" t="inlineStr"/>
      <c r="D36" s="95" t="inlineStr"/>
      <c r="E36" s="95" t="inlineStr"/>
      <c r="F36" s="95" t="inlineStr"/>
      <c r="G36" s="95" t="inlineStr"/>
      <c r="H36" s="95" t="inlineStr"/>
      <c r="I36" s="95" t="inlineStr"/>
      <c r="J36" s="95" t="inlineStr"/>
      <c r="K36" s="95" t="inlineStr"/>
    </row>
    <row r="37">
      <c r="A37" s="2" t="inlineStr">
        <is>
          <t>OCF (approx)</t>
        </is>
      </c>
      <c r="B37" s="35">
        <f>B21+B4-B5</f>
        <v/>
      </c>
      <c r="C37" s="35">
        <f>C21+C4-C5</f>
        <v/>
      </c>
      <c r="D37" s="35">
        <f>D21+D4-D5</f>
        <v/>
      </c>
      <c r="E37" s="35">
        <f>E21+E4-E5</f>
        <v/>
      </c>
      <c r="F37" s="35">
        <f>F21+F4-F5</f>
        <v/>
      </c>
      <c r="G37" s="35">
        <f>G21+G4-G5</f>
        <v/>
      </c>
      <c r="H37" s="35">
        <f>H21+H4-H5</f>
        <v/>
      </c>
      <c r="I37" s="35">
        <f>I21+I4-I5</f>
        <v/>
      </c>
      <c r="J37" s="35">
        <f>J21+J4-J5</f>
        <v/>
      </c>
      <c r="K37" s="35">
        <f>K21+K4-K5</f>
        <v/>
      </c>
    </row>
    <row r="38">
      <c r="A38" s="2" t="inlineStr">
        <is>
          <t>OCF Margin %</t>
        </is>
      </c>
      <c r="B38" s="96">
        <f>IFERROR(B33/B4,0)</f>
        <v/>
      </c>
      <c r="C38" s="96">
        <f>IFERROR(C33/C4,0)</f>
        <v/>
      </c>
      <c r="D38" s="96">
        <f>IFERROR(D33/D4,0)</f>
        <v/>
      </c>
      <c r="E38" s="96">
        <f>IFERROR(E33/E4,0)</f>
        <v/>
      </c>
      <c r="F38" s="96">
        <f>IFERROR(F33/F4,0)</f>
        <v/>
      </c>
      <c r="G38" s="96">
        <f>IFERROR(G33/G4,0)</f>
        <v/>
      </c>
      <c r="H38" s="96">
        <f>IFERROR(H33/H4,0)</f>
        <v/>
      </c>
      <c r="I38" s="96">
        <f>IFERROR(I33/I4,0)</f>
        <v/>
      </c>
      <c r="J38" s="96">
        <f>IFERROR(J33/J4,0)</f>
        <v/>
      </c>
      <c r="K38" s="96">
        <f>IFERROR(K33/K4,0)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Metric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2029E</t>
        </is>
      </c>
      <c r="K1" s="8" t="inlineStr">
        <is>
          <t>2030E</t>
        </is>
      </c>
    </row>
    <row r="2">
      <c r="A2" s="15" t="inlineStr">
        <is>
          <t>ASSETS</t>
        </is>
      </c>
    </row>
    <row r="3">
      <c r="A3" s="2" t="inlineStr">
        <is>
          <t>Cash &amp; Equivalents</t>
        </is>
      </c>
      <c r="B3" s="16" t="n">
        <v>4000</v>
      </c>
      <c r="C3" s="16" t="n">
        <v>4000</v>
      </c>
      <c r="D3" s="16" t="n">
        <v>4000</v>
      </c>
      <c r="E3" s="16" t="n">
        <v>4000</v>
      </c>
      <c r="F3" s="16" t="n">
        <v>4000</v>
      </c>
      <c r="G3" s="16" t="n">
        <v>4000</v>
      </c>
      <c r="H3" s="16" t="n">
        <v>4000</v>
      </c>
      <c r="I3" s="16" t="n">
        <v>4000</v>
      </c>
      <c r="J3" s="16" t="n">
        <v>4000</v>
      </c>
      <c r="K3" s="16" t="n">
        <v>4000</v>
      </c>
    </row>
    <row r="4">
      <c r="A4" s="2" t="inlineStr">
        <is>
          <t>Short-term Investments</t>
        </is>
      </c>
      <c r="B4" s="16" t="n">
        <v>5000</v>
      </c>
      <c r="C4" s="16" t="n">
        <v>5000</v>
      </c>
      <c r="D4" s="16" t="n">
        <v>5000</v>
      </c>
      <c r="E4" s="16" t="n">
        <v>5000</v>
      </c>
      <c r="F4" s="16" t="n">
        <v>5000</v>
      </c>
      <c r="G4" s="16" t="n">
        <v>5000</v>
      </c>
      <c r="H4" s="16" t="n">
        <v>5000</v>
      </c>
      <c r="I4" s="16" t="n">
        <v>5000</v>
      </c>
      <c r="J4" s="16" t="n">
        <v>5000</v>
      </c>
      <c r="K4" s="16" t="n">
        <v>5000</v>
      </c>
    </row>
    <row r="5">
      <c r="A5" s="2" t="inlineStr">
        <is>
          <t>Content Assets (Current)</t>
        </is>
      </c>
      <c r="B5" s="16" t="n">
        <v>8000</v>
      </c>
      <c r="C5" s="16" t="n">
        <v>8000</v>
      </c>
      <c r="D5" s="16" t="n">
        <v>8000</v>
      </c>
      <c r="E5" s="16" t="n">
        <v>8000</v>
      </c>
      <c r="F5" s="16" t="n">
        <v>8000</v>
      </c>
      <c r="G5" s="16" t="n">
        <v>8000</v>
      </c>
      <c r="H5" s="16" t="n">
        <v>8000</v>
      </c>
      <c r="I5" s="16" t="n">
        <v>8000</v>
      </c>
      <c r="J5" s="16" t="n">
        <v>8000</v>
      </c>
      <c r="K5" s="16" t="n">
        <v>8000</v>
      </c>
    </row>
    <row r="6">
      <c r="A6" s="2" t="inlineStr">
        <is>
          <t>Other Current Assets</t>
        </is>
      </c>
      <c r="B6" s="16" t="n">
        <v>2000</v>
      </c>
      <c r="C6" s="16" t="n">
        <v>2000</v>
      </c>
      <c r="D6" s="16" t="n">
        <v>2000</v>
      </c>
      <c r="E6" s="16" t="n">
        <v>2000</v>
      </c>
      <c r="F6" s="16" t="n">
        <v>2000</v>
      </c>
      <c r="G6" s="16" t="n">
        <v>2000</v>
      </c>
      <c r="H6" s="16" t="n">
        <v>2000</v>
      </c>
      <c r="I6" s="16" t="n">
        <v>2000</v>
      </c>
      <c r="J6" s="16" t="n">
        <v>2000</v>
      </c>
      <c r="K6" s="16" t="n">
        <v>2000</v>
      </c>
    </row>
    <row r="7">
      <c r="A7" s="2" t="inlineStr">
        <is>
          <t>Total Current Assets</t>
        </is>
      </c>
      <c r="B7" s="17">
        <f>B3+B4+B5+B6</f>
        <v/>
      </c>
      <c r="C7" s="17">
        <f>C3+C4+C5+C6</f>
        <v/>
      </c>
      <c r="D7" s="17">
        <f>D3+D4+D5+D6</f>
        <v/>
      </c>
      <c r="E7" s="17">
        <f>E3+E4+E5+E6</f>
        <v/>
      </c>
      <c r="F7" s="17">
        <f>F3+F4+F5+F6</f>
        <v/>
      </c>
      <c r="G7" s="17">
        <f>G3+G4+G5+G6</f>
        <v/>
      </c>
      <c r="H7" s="17">
        <f>H3+H4+H5+H6</f>
        <v/>
      </c>
      <c r="I7" s="17">
        <f>I3+I4+I5+I6</f>
        <v/>
      </c>
      <c r="J7" s="17">
        <f>J3+J4+J5+J6</f>
        <v/>
      </c>
      <c r="K7" s="17">
        <f>K3+K4+K5+K6</f>
        <v/>
      </c>
    </row>
    <row r="8">
      <c r="A8" s="2" t="inlineStr">
        <is>
          <t>PP&amp;E</t>
        </is>
      </c>
      <c r="B8" s="16" t="n">
        <v>3500</v>
      </c>
      <c r="C8" s="16" t="n">
        <v>3500</v>
      </c>
      <c r="D8" s="16" t="n">
        <v>3500</v>
      </c>
      <c r="E8" s="16" t="n">
        <v>3500</v>
      </c>
      <c r="F8" s="16" t="n">
        <v>3500</v>
      </c>
      <c r="G8" s="16" t="n">
        <v>3500</v>
      </c>
      <c r="H8" s="16" t="n">
        <v>3500</v>
      </c>
      <c r="I8" s="16" t="n">
        <v>3500</v>
      </c>
      <c r="J8" s="16" t="n">
        <v>3500</v>
      </c>
      <c r="K8" s="16" t="n">
        <v>3500</v>
      </c>
    </row>
    <row r="9">
      <c r="A9" s="2" t="inlineStr">
        <is>
          <t>Goodwill</t>
        </is>
      </c>
      <c r="B9" s="16" t="n">
        <v>1200</v>
      </c>
      <c r="C9" s="16" t="n">
        <v>1200</v>
      </c>
      <c r="D9" s="16" t="n">
        <v>1200</v>
      </c>
      <c r="E9" s="16" t="n">
        <v>1200</v>
      </c>
      <c r="F9" s="16" t="n">
        <v>1200</v>
      </c>
      <c r="G9" s="16" t="n">
        <v>1200</v>
      </c>
      <c r="H9" s="16" t="n">
        <v>1200</v>
      </c>
      <c r="I9" s="16" t="n">
        <v>1200</v>
      </c>
      <c r="J9" s="16" t="n">
        <v>1200</v>
      </c>
      <c r="K9" s="16" t="n">
        <v>1200</v>
      </c>
    </row>
    <row r="10">
      <c r="A10" s="2" t="inlineStr">
        <is>
          <t>Content Assets (Non-Current)</t>
        </is>
      </c>
      <c r="B10" s="16" t="n">
        <v>18000</v>
      </c>
      <c r="C10" s="16" t="n">
        <v>18000</v>
      </c>
      <c r="D10" s="16" t="n">
        <v>18000</v>
      </c>
      <c r="E10" s="16" t="n">
        <v>18000</v>
      </c>
      <c r="F10" s="16" t="n">
        <v>18000</v>
      </c>
      <c r="G10" s="16" t="n">
        <v>18000</v>
      </c>
      <c r="H10" s="16" t="n">
        <v>18000</v>
      </c>
      <c r="I10" s="16" t="n">
        <v>18000</v>
      </c>
      <c r="J10" s="16" t="n">
        <v>18000</v>
      </c>
      <c r="K10" s="16" t="n">
        <v>18000</v>
      </c>
    </row>
    <row r="11">
      <c r="A11" s="2" t="inlineStr">
        <is>
          <t>Other LT Assets</t>
        </is>
      </c>
      <c r="B11" s="16" t="n">
        <v>1500</v>
      </c>
      <c r="C11" s="16" t="n">
        <v>1500</v>
      </c>
      <c r="D11" s="16" t="n">
        <v>1500</v>
      </c>
      <c r="E11" s="16" t="n">
        <v>1500</v>
      </c>
      <c r="F11" s="16" t="n">
        <v>1500</v>
      </c>
      <c r="G11" s="16" t="n">
        <v>1500</v>
      </c>
      <c r="H11" s="16" t="n">
        <v>1500</v>
      </c>
      <c r="I11" s="16" t="n">
        <v>1500</v>
      </c>
      <c r="J11" s="16" t="n">
        <v>1500</v>
      </c>
      <c r="K11" s="16" t="n">
        <v>1500</v>
      </c>
    </row>
    <row r="12">
      <c r="A12" s="2" t="inlineStr">
        <is>
          <t>Total Assets</t>
        </is>
      </c>
      <c r="B12" s="17">
        <f>B7+B8+B9+B10+B11</f>
        <v/>
      </c>
      <c r="C12" s="17">
        <f>C7+C8+C9+C10+C11</f>
        <v/>
      </c>
      <c r="D12" s="17">
        <f>D7+D8+D9+D10+D11</f>
        <v/>
      </c>
      <c r="E12" s="17">
        <f>E7+E8+E9+E10+E11</f>
        <v/>
      </c>
      <c r="F12" s="17">
        <f>F7+F8+F9+F10+F11</f>
        <v/>
      </c>
      <c r="G12" s="17">
        <f>G7+G8+G9+G10+G11</f>
        <v/>
      </c>
      <c r="H12" s="17">
        <f>H7+H8+H9+H10+H11</f>
        <v/>
      </c>
      <c r="I12" s="17">
        <f>I7+I8+I9+I10+I11</f>
        <v/>
      </c>
      <c r="J12" s="17">
        <f>J7+J8+J9+J10+J11</f>
        <v/>
      </c>
      <c r="K12" s="17">
        <f>K7+K8+K9+K10+K11</f>
        <v/>
      </c>
    </row>
    <row r="13">
      <c r="A13" s="2" t="inlineStr"/>
    </row>
    <row r="14">
      <c r="A14" s="15" t="inlineStr">
        <is>
          <t>LIABILITIES</t>
        </is>
      </c>
    </row>
    <row r="15">
      <c r="A15" s="2" t="inlineStr">
        <is>
          <t>Current Liabilities</t>
        </is>
      </c>
      <c r="B15" s="16" t="n">
        <v>6500</v>
      </c>
      <c r="C15" s="16" t="n">
        <v>6500</v>
      </c>
      <c r="D15" s="16" t="n">
        <v>6500</v>
      </c>
      <c r="E15" s="16" t="n">
        <v>6500</v>
      </c>
      <c r="F15" s="16" t="n">
        <v>6500</v>
      </c>
      <c r="G15" s="16" t="n">
        <v>6500</v>
      </c>
      <c r="H15" s="16" t="n">
        <v>6500</v>
      </c>
      <c r="I15" s="16" t="n">
        <v>6500</v>
      </c>
      <c r="J15" s="16" t="n">
        <v>6500</v>
      </c>
      <c r="K15" s="16" t="n">
        <v>6500</v>
      </c>
    </row>
    <row r="16">
      <c r="A16" s="2" t="inlineStr">
        <is>
          <t>Deferred Revenue</t>
        </is>
      </c>
      <c r="B16" s="16" t="n">
        <v>8500</v>
      </c>
      <c r="C16" s="16" t="n">
        <v>8500</v>
      </c>
      <c r="D16" s="16" t="n">
        <v>8500</v>
      </c>
      <c r="E16" s="16" t="n">
        <v>8500</v>
      </c>
      <c r="F16" s="16" t="n">
        <v>8500</v>
      </c>
      <c r="G16" s="16" t="n">
        <v>8500</v>
      </c>
      <c r="H16" s="16" t="n">
        <v>8500</v>
      </c>
      <c r="I16" s="16" t="n">
        <v>8500</v>
      </c>
      <c r="J16" s="16" t="n">
        <v>8500</v>
      </c>
      <c r="K16" s="16" t="n">
        <v>8500</v>
      </c>
    </row>
    <row r="17">
      <c r="A17" s="2" t="inlineStr">
        <is>
          <t>Short-term Debt</t>
        </is>
      </c>
      <c r="B17" s="16" t="n">
        <v>2000</v>
      </c>
      <c r="C17" s="16" t="n">
        <v>2000</v>
      </c>
      <c r="D17" s="16" t="n">
        <v>2000</v>
      </c>
      <c r="E17" s="16" t="n">
        <v>2000</v>
      </c>
      <c r="F17" s="16" t="n">
        <v>2000</v>
      </c>
      <c r="G17" s="16" t="n">
        <v>2000</v>
      </c>
      <c r="H17" s="16" t="n">
        <v>2000</v>
      </c>
      <c r="I17" s="16" t="n">
        <v>2000</v>
      </c>
      <c r="J17" s="16" t="n">
        <v>2000</v>
      </c>
      <c r="K17" s="16" t="n">
        <v>2000</v>
      </c>
    </row>
    <row r="18">
      <c r="A18" s="2" t="inlineStr">
        <is>
          <t>Total Current Liabilities</t>
        </is>
      </c>
      <c r="B18" s="17">
        <f>B15+B16+B17</f>
        <v/>
      </c>
      <c r="C18" s="17">
        <f>C15+C16+C17</f>
        <v/>
      </c>
      <c r="D18" s="17">
        <f>D15+D16+D17</f>
        <v/>
      </c>
      <c r="E18" s="17">
        <f>E15+E16+E17</f>
        <v/>
      </c>
      <c r="F18" s="17">
        <f>F15+F16+F17</f>
        <v/>
      </c>
      <c r="G18" s="17">
        <f>G15+G16+G17</f>
        <v/>
      </c>
      <c r="H18" s="17">
        <f>H15+H16+H17</f>
        <v/>
      </c>
      <c r="I18" s="17">
        <f>I15+I16+I17</f>
        <v/>
      </c>
      <c r="J18" s="17">
        <f>J15+J16+J17</f>
        <v/>
      </c>
      <c r="K18" s="17">
        <f>K15+K16+K17</f>
        <v/>
      </c>
    </row>
    <row r="19">
      <c r="A19" s="2" t="inlineStr">
        <is>
          <t>Long-term Debt</t>
        </is>
      </c>
      <c r="B19" s="16" t="n">
        <v>12000</v>
      </c>
      <c r="C19" s="16" t="n">
        <v>12000</v>
      </c>
      <c r="D19" s="16" t="n">
        <v>12000</v>
      </c>
      <c r="E19" s="16" t="n">
        <v>12000</v>
      </c>
      <c r="F19" s="16" t="n">
        <v>12000</v>
      </c>
      <c r="G19" s="16" t="n">
        <v>12000</v>
      </c>
      <c r="H19" s="16" t="n">
        <v>12000</v>
      </c>
      <c r="I19" s="16" t="n">
        <v>12000</v>
      </c>
      <c r="J19" s="16" t="n">
        <v>12000</v>
      </c>
      <c r="K19" s="16" t="n">
        <v>12000</v>
      </c>
    </row>
    <row r="20">
      <c r="A20" s="2" t="inlineStr">
        <is>
          <t>Other LT Liabilities</t>
        </is>
      </c>
      <c r="B20" s="16" t="n">
        <v>3000</v>
      </c>
      <c r="C20" s="16" t="n">
        <v>3000</v>
      </c>
      <c r="D20" s="16" t="n">
        <v>3000</v>
      </c>
      <c r="E20" s="16" t="n">
        <v>3000</v>
      </c>
      <c r="F20" s="16" t="n">
        <v>3000</v>
      </c>
      <c r="G20" s="16" t="n">
        <v>3000</v>
      </c>
      <c r="H20" s="16" t="n">
        <v>3000</v>
      </c>
      <c r="I20" s="16" t="n">
        <v>3000</v>
      </c>
      <c r="J20" s="16" t="n">
        <v>3000</v>
      </c>
      <c r="K20" s="16" t="n">
        <v>3000</v>
      </c>
    </row>
    <row r="21">
      <c r="A21" s="2" t="inlineStr">
        <is>
          <t>Total Liabilities</t>
        </is>
      </c>
      <c r="B21" s="17">
        <f>B18+B19+B20</f>
        <v/>
      </c>
      <c r="C21" s="17">
        <f>C18+C19+C20</f>
        <v/>
      </c>
      <c r="D21" s="17">
        <f>D18+D19+D20</f>
        <v/>
      </c>
      <c r="E21" s="17">
        <f>E18+E19+E20</f>
        <v/>
      </c>
      <c r="F21" s="17">
        <f>F18+F19+F20</f>
        <v/>
      </c>
      <c r="G21" s="17">
        <f>G18+G19+G20</f>
        <v/>
      </c>
      <c r="H21" s="17">
        <f>H18+H19+H20</f>
        <v/>
      </c>
      <c r="I21" s="17">
        <f>I18+I19+I20</f>
        <v/>
      </c>
      <c r="J21" s="17">
        <f>J18+J19+J20</f>
        <v/>
      </c>
      <c r="K21" s="17">
        <f>K18+K19+K20</f>
        <v/>
      </c>
    </row>
    <row r="22">
      <c r="A22" s="2" t="inlineStr"/>
    </row>
    <row r="23">
      <c r="A23" s="15" t="inlineStr">
        <is>
          <t>EQUITY</t>
        </is>
      </c>
    </row>
    <row r="24">
      <c r="A24" s="2" t="inlineStr">
        <is>
          <t>Common Stock</t>
        </is>
      </c>
      <c r="B24" s="16" t="n">
        <v>5000</v>
      </c>
      <c r="C24" s="16" t="n">
        <v>5000</v>
      </c>
      <c r="D24" s="16" t="n">
        <v>5000</v>
      </c>
      <c r="E24" s="16" t="n">
        <v>5000</v>
      </c>
      <c r="F24" s="16" t="n">
        <v>5000</v>
      </c>
      <c r="G24" s="16" t="n">
        <v>5000</v>
      </c>
      <c r="H24" s="16" t="n">
        <v>5000</v>
      </c>
      <c r="I24" s="16" t="n">
        <v>5000</v>
      </c>
      <c r="J24" s="16" t="n">
        <v>5000</v>
      </c>
      <c r="K24" s="16" t="n">
        <v>5000</v>
      </c>
    </row>
    <row r="25">
      <c r="A25" s="2" t="inlineStr">
        <is>
          <t>Retained Earnings</t>
        </is>
      </c>
      <c r="B25" s="17">
        <f>IFERROR(B12-B21-B24,0)</f>
        <v/>
      </c>
      <c r="C25" s="17">
        <f>IFERROR(C12-C21-C24,0)</f>
        <v/>
      </c>
      <c r="D25" s="17">
        <f>IFERROR(D12-D21-D24,0)</f>
        <v/>
      </c>
      <c r="E25" s="17">
        <f>IFERROR(E12-E21-E24,0)</f>
        <v/>
      </c>
      <c r="F25" s="17">
        <f>IFERROR(F12-F21-F24,0)</f>
        <v/>
      </c>
      <c r="G25" s="17">
        <f>IFERROR(G12-G21-G24,0)</f>
        <v/>
      </c>
      <c r="H25" s="17">
        <f>IFERROR(H12-H21-H24,0)</f>
        <v/>
      </c>
      <c r="I25" s="17">
        <f>IFERROR(I12-I21-I24,0)</f>
        <v/>
      </c>
      <c r="J25" s="17">
        <f>IFERROR(J12-J21-J24,0)</f>
        <v/>
      </c>
      <c r="K25" s="17">
        <f>IFERROR(K12-K21-K24,0)</f>
        <v/>
      </c>
    </row>
    <row r="26">
      <c r="A26" s="2" t="inlineStr">
        <is>
          <t>Total Stockholders' Equity</t>
        </is>
      </c>
      <c r="B26" s="17">
        <f>B24+B25</f>
        <v/>
      </c>
      <c r="C26" s="17">
        <f>C24+C25</f>
        <v/>
      </c>
      <c r="D26" s="17">
        <f>D24+D25</f>
        <v/>
      </c>
      <c r="E26" s="17">
        <f>E24+E25</f>
        <v/>
      </c>
      <c r="F26" s="17">
        <f>F24+F25</f>
        <v/>
      </c>
      <c r="G26" s="17">
        <f>G24+G25</f>
        <v/>
      </c>
      <c r="H26" s="17">
        <f>H24+H25</f>
        <v/>
      </c>
      <c r="I26" s="17">
        <f>I24+I25</f>
        <v/>
      </c>
      <c r="J26" s="17">
        <f>J24+J25</f>
        <v/>
      </c>
      <c r="K26" s="17">
        <f>K24+K25</f>
        <v/>
      </c>
    </row>
    <row r="27">
      <c r="A27" s="2" t="inlineStr">
        <is>
          <t>Total Liabilities &amp; Equity</t>
        </is>
      </c>
      <c r="B27" s="17">
        <f>B21+B26</f>
        <v/>
      </c>
      <c r="C27" s="17">
        <f>C21+C26</f>
        <v/>
      </c>
      <c r="D27" s="17">
        <f>D21+D26</f>
        <v/>
      </c>
      <c r="E27" s="17">
        <f>E21+E26</f>
        <v/>
      </c>
      <c r="F27" s="17">
        <f>F21+F26</f>
        <v/>
      </c>
      <c r="G27" s="17">
        <f>G21+G26</f>
        <v/>
      </c>
      <c r="H27" s="17">
        <f>H21+H26</f>
        <v/>
      </c>
      <c r="I27" s="17">
        <f>I21+I26</f>
        <v/>
      </c>
      <c r="J27" s="17">
        <f>J21+J26</f>
        <v/>
      </c>
      <c r="K27" s="17">
        <f>K21+K26</f>
        <v/>
      </c>
    </row>
    <row r="28">
      <c r="A28" s="40" t="inlineStr"/>
      <c r="B28" s="60" t="inlineStr"/>
      <c r="C28" s="60" t="inlineStr"/>
      <c r="D28" s="60" t="inlineStr"/>
      <c r="E28" s="60" t="inlineStr"/>
      <c r="F28" s="60" t="inlineStr"/>
      <c r="G28" s="60" t="inlineStr"/>
      <c r="H28" s="60" t="inlineStr"/>
      <c r="I28" s="60" t="inlineStr"/>
      <c r="J28" s="60" t="inlineStr"/>
      <c r="K28" s="60" t="inlineStr"/>
    </row>
    <row r="29">
      <c r="A29" s="37" t="inlineStr">
        <is>
          <t>BALANCE SHEET RATIOS</t>
        </is>
      </c>
      <c r="B29" s="60" t="inlineStr"/>
      <c r="C29" s="60" t="inlineStr"/>
      <c r="D29" s="60" t="inlineStr"/>
      <c r="E29" s="60" t="inlineStr"/>
      <c r="F29" s="60" t="inlineStr"/>
      <c r="G29" s="60" t="inlineStr"/>
      <c r="H29" s="60" t="inlineStr"/>
      <c r="I29" s="60" t="inlineStr"/>
      <c r="J29" s="60" t="inlineStr"/>
      <c r="K29" s="60" t="inlineStr"/>
    </row>
    <row r="30">
      <c r="A30" s="40" t="inlineStr">
        <is>
          <t>Current Ratio</t>
        </is>
      </c>
      <c r="B30" s="52">
        <f>B7/B18</f>
        <v/>
      </c>
      <c r="C30" s="52">
        <f>C7/C18</f>
        <v/>
      </c>
      <c r="D30" s="52">
        <f>D7/D18</f>
        <v/>
      </c>
      <c r="E30" s="52">
        <f>E7/E18</f>
        <v/>
      </c>
      <c r="F30" s="52">
        <f>F7/F18</f>
        <v/>
      </c>
      <c r="G30" s="52">
        <f>G7/G18</f>
        <v/>
      </c>
      <c r="H30" s="52">
        <f>H7/H18</f>
        <v/>
      </c>
      <c r="I30" s="52">
        <f>I7/I18</f>
        <v/>
      </c>
      <c r="J30" s="52">
        <f>J7/J18</f>
        <v/>
      </c>
      <c r="K30" s="52">
        <f>K7/K18</f>
        <v/>
      </c>
    </row>
    <row r="31">
      <c r="A31" s="40" t="inlineStr">
        <is>
          <t>Quick Ratio</t>
        </is>
      </c>
      <c r="B31" s="52">
        <f>IFERROR((B3+B4)/(B18),0)</f>
        <v/>
      </c>
      <c r="C31" s="52">
        <f>IFERROR((C3+C4)/(C18),0)</f>
        <v/>
      </c>
      <c r="D31" s="52">
        <f>IFERROR((D3+D4)/(D18),0)</f>
        <v/>
      </c>
      <c r="E31" s="52">
        <f>IFERROR((E3+E4)/(E18),0)</f>
        <v/>
      </c>
      <c r="F31" s="52">
        <f>IFERROR((F3+F4)/(F18),0)</f>
        <v/>
      </c>
      <c r="G31" s="52">
        <f>IFERROR((G3+G4)/(G18),0)</f>
        <v/>
      </c>
      <c r="H31" s="52">
        <f>IFERROR((H3+H4)/(H18),0)</f>
        <v/>
      </c>
      <c r="I31" s="52">
        <f>IFERROR((I3+I4)/(I18),0)</f>
        <v/>
      </c>
      <c r="J31" s="52">
        <f>IFERROR((J3+J4)/(J18),0)</f>
        <v/>
      </c>
      <c r="K31" s="52">
        <f>IFERROR((K3+K4)/(K18),0)</f>
        <v/>
      </c>
    </row>
    <row r="32">
      <c r="A32" s="40" t="inlineStr">
        <is>
          <t>Debt-to-Equity</t>
        </is>
      </c>
      <c r="B32" s="52">
        <f>IFERROR(B21/B26,0)</f>
        <v/>
      </c>
      <c r="C32" s="52">
        <f>IFERROR(C21/C26,0)</f>
        <v/>
      </c>
      <c r="D32" s="52">
        <f>IFERROR(D21/D26,0)</f>
        <v/>
      </c>
      <c r="E32" s="52">
        <f>IFERROR(E21/E26,0)</f>
        <v/>
      </c>
      <c r="F32" s="52">
        <f>IFERROR(F21/F26,0)</f>
        <v/>
      </c>
      <c r="G32" s="52">
        <f>IFERROR(G21/G26,0)</f>
        <v/>
      </c>
      <c r="H32" s="52">
        <f>IFERROR(H21/H26,0)</f>
        <v/>
      </c>
      <c r="I32" s="52">
        <f>IFERROR(I21/I26,0)</f>
        <v/>
      </c>
      <c r="J32" s="52">
        <f>IFERROR(J21/J26,0)</f>
        <v/>
      </c>
      <c r="K32" s="52">
        <f>IFERROR(K21/K26,0)</f>
        <v/>
      </c>
    </row>
    <row r="33">
      <c r="A33" s="40" t="inlineStr">
        <is>
          <t>ROE %</t>
        </is>
      </c>
      <c r="B33" s="53">
        <f>IFERROR('Income Statement'!B21/B26,0)</f>
        <v/>
      </c>
      <c r="C33" s="53">
        <f>IFERROR('Income Statement'!C21/C26,0)</f>
        <v/>
      </c>
      <c r="D33" s="53">
        <f>IFERROR('Income Statement'!D21/D26,0)</f>
        <v/>
      </c>
      <c r="E33" s="53">
        <f>IFERROR('Income Statement'!E21/E26,0)</f>
        <v/>
      </c>
      <c r="F33" s="53">
        <f>IFERROR('Income Statement'!F21/F26,0)</f>
        <v/>
      </c>
      <c r="G33" s="53">
        <f>IFERROR('Income Statement'!G21/G26,0)</f>
        <v/>
      </c>
      <c r="H33" s="53">
        <f>IFERROR('Income Statement'!H21/H26,0)</f>
        <v/>
      </c>
      <c r="I33" s="53">
        <f>IFERROR('Income Statement'!I21/I26,0)</f>
        <v/>
      </c>
      <c r="J33" s="53">
        <f>IFERROR('Income Statement'!J21/J26,0)</f>
        <v/>
      </c>
      <c r="K33" s="53">
        <f>IFERROR('Income Statement'!K21/K26,0)</f>
        <v/>
      </c>
    </row>
    <row r="34">
      <c r="A34" s="40" t="inlineStr"/>
      <c r="B34" s="40" t="inlineStr"/>
      <c r="C34" s="40" t="inlineStr"/>
      <c r="D34" s="40" t="inlineStr"/>
      <c r="E34" s="40" t="inlineStr"/>
      <c r="F34" s="40" t="inlineStr"/>
      <c r="G34" s="40" t="inlineStr"/>
      <c r="H34" s="40" t="inlineStr"/>
      <c r="I34" s="40" t="inlineStr"/>
      <c r="J34" s="40" t="inlineStr"/>
      <c r="K34" s="40" t="inlineStr"/>
    </row>
    <row r="35">
      <c r="A35" s="40" t="inlineStr">
        <is>
          <t>NOTES: Off-balance-sheet content obligations $15.3B not reflected above.</t>
        </is>
      </c>
      <c r="B35" s="40" t="inlineStr"/>
      <c r="C35" s="40" t="inlineStr"/>
      <c r="D35" s="40" t="inlineStr"/>
      <c r="E35" s="40" t="inlineStr"/>
      <c r="F35" s="40" t="inlineStr"/>
      <c r="G35" s="40" t="inlineStr"/>
      <c r="H35" s="40" t="inlineStr"/>
      <c r="I35" s="40" t="inlineStr"/>
      <c r="J35" s="40" t="inlineStr"/>
      <c r="K35" s="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Metric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2029E</t>
        </is>
      </c>
      <c r="K1" s="8" t="inlineStr">
        <is>
          <t>2030E</t>
        </is>
      </c>
    </row>
    <row r="2">
      <c r="A2" s="2" t="inlineStr">
        <is>
          <t>Operating Cash Flow</t>
        </is>
      </c>
    </row>
    <row r="3">
      <c r="A3" s="2" t="inlineStr">
        <is>
          <t>Net Income</t>
        </is>
      </c>
      <c r="B3" s="10">
        <f>'Income Statement'!B21</f>
        <v/>
      </c>
      <c r="C3" s="10">
        <f>'Income Statement'!C21</f>
        <v/>
      </c>
      <c r="D3" s="10">
        <f>'Income Statement'!D21</f>
        <v/>
      </c>
      <c r="E3" s="10">
        <f>'Income Statement'!E21</f>
        <v/>
      </c>
      <c r="F3" s="10">
        <f>'Income Statement'!F21</f>
        <v/>
      </c>
      <c r="G3" s="10">
        <f>'Income Statement'!G21</f>
        <v/>
      </c>
      <c r="H3" s="10">
        <f>'Income Statement'!H21</f>
        <v/>
      </c>
      <c r="I3" s="10">
        <f>'Income Statement'!I21</f>
        <v/>
      </c>
      <c r="J3" s="10">
        <f>'Income Statement'!J21</f>
        <v/>
      </c>
      <c r="K3" s="10">
        <f>'Income Statement'!K21</f>
        <v/>
      </c>
    </row>
    <row r="4">
      <c r="A4" s="2" t="inlineStr">
        <is>
          <t>D&amp;A</t>
        </is>
      </c>
      <c r="B4" s="10">
        <f>Assumptions!B9</f>
        <v/>
      </c>
      <c r="C4" s="10">
        <f>Assumptions!C9</f>
        <v/>
      </c>
      <c r="D4" s="10">
        <f>Assumptions!D9</f>
        <v/>
      </c>
      <c r="E4" s="10">
        <f>Assumptions!E9</f>
        <v/>
      </c>
      <c r="F4" s="10">
        <f>Assumptions!F9</f>
        <v/>
      </c>
      <c r="G4" s="10">
        <f>Assumptions!G9</f>
        <v/>
      </c>
      <c r="H4" s="10">
        <f>Assumptions!H9</f>
        <v/>
      </c>
      <c r="I4" s="10">
        <f>Assumptions!I9</f>
        <v/>
      </c>
      <c r="J4" s="10">
        <f>Assumptions!J9</f>
        <v/>
      </c>
      <c r="K4" s="10">
        <f>Assumptions!K9</f>
        <v/>
      </c>
    </row>
    <row r="5">
      <c r="A5" s="2" t="inlineStr">
        <is>
          <t>SBC</t>
        </is>
      </c>
      <c r="B5" s="10">
        <f>Assumptions!B8</f>
        <v/>
      </c>
      <c r="C5" s="10">
        <f>Assumptions!C8</f>
        <v/>
      </c>
      <c r="D5" s="10">
        <f>Assumptions!D8</f>
        <v/>
      </c>
      <c r="E5" s="10">
        <f>Assumptions!E8</f>
        <v/>
      </c>
      <c r="F5" s="10">
        <f>Assumptions!F8</f>
        <v/>
      </c>
      <c r="G5" s="10">
        <f>Assumptions!G8</f>
        <v/>
      </c>
      <c r="H5" s="10">
        <f>Assumptions!H8</f>
        <v/>
      </c>
      <c r="I5" s="10">
        <f>Assumptions!I8</f>
        <v/>
      </c>
      <c r="J5" s="10">
        <f>Assumptions!J8</f>
        <v/>
      </c>
      <c r="K5" s="10">
        <f>Assumptions!K8</f>
        <v/>
      </c>
    </row>
    <row r="6">
      <c r="A6" s="2" t="inlineStr">
        <is>
          <t>Working Capital Changes</t>
        </is>
      </c>
      <c r="B6" s="12">
        <f>500</f>
        <v/>
      </c>
      <c r="C6" s="12">
        <f>500</f>
        <v/>
      </c>
      <c r="D6" s="12">
        <f>500</f>
        <v/>
      </c>
      <c r="E6" s="12">
        <f>500</f>
        <v/>
      </c>
      <c r="F6" s="12">
        <f>500</f>
        <v/>
      </c>
      <c r="G6" s="12">
        <f>500</f>
        <v/>
      </c>
      <c r="H6" s="12">
        <f>500</f>
        <v/>
      </c>
      <c r="I6" s="12">
        <f>500</f>
        <v/>
      </c>
      <c r="J6" s="12">
        <f>500</f>
        <v/>
      </c>
      <c r="K6" s="12">
        <f>500</f>
        <v/>
      </c>
    </row>
    <row r="7">
      <c r="A7" s="2" t="inlineStr">
        <is>
          <t>Total OCF</t>
        </is>
      </c>
      <c r="B7" s="9">
        <f>B3+B4+B5+B6</f>
        <v/>
      </c>
      <c r="C7" s="9">
        <f>C3+C4+C5+C6</f>
        <v/>
      </c>
      <c r="D7" s="9">
        <f>D3+D4+D5+D6</f>
        <v/>
      </c>
      <c r="E7" s="9">
        <f>E3+E4+E5+E6</f>
        <v/>
      </c>
      <c r="F7" s="9">
        <f>F3+F4+F5+F6</f>
        <v/>
      </c>
      <c r="G7" s="9">
        <f>G3+G4+G5+G6</f>
        <v/>
      </c>
      <c r="H7" s="9">
        <f>H3+H4+H5+H6</f>
        <v/>
      </c>
      <c r="I7" s="9">
        <f>I3+I4+I5+I6</f>
        <v/>
      </c>
      <c r="J7" s="9">
        <f>J3+J4+J5+J6</f>
        <v/>
      </c>
      <c r="K7" s="9">
        <f>K3+K4+K5+K6</f>
        <v/>
      </c>
    </row>
    <row r="8">
      <c r="A8" s="2" t="inlineStr"/>
    </row>
    <row r="9">
      <c r="A9" s="2" t="inlineStr">
        <is>
          <t>Investing Cash Flow</t>
        </is>
      </c>
    </row>
    <row r="10">
      <c r="A10" s="2" t="inlineStr">
        <is>
          <t>CapEx</t>
        </is>
      </c>
      <c r="B10" s="10">
        <f>Assumptions!B6</f>
        <v/>
      </c>
      <c r="C10" s="10">
        <f>Assumptions!C6</f>
        <v/>
      </c>
      <c r="D10" s="10">
        <f>Assumptions!D6</f>
        <v/>
      </c>
      <c r="E10" s="10">
        <f>Assumptions!E6</f>
        <v/>
      </c>
      <c r="F10" s="10">
        <f>Assumptions!F6</f>
        <v/>
      </c>
      <c r="G10" s="10">
        <f>Assumptions!G6</f>
        <v/>
      </c>
      <c r="H10" s="10">
        <f>Assumptions!H6</f>
        <v/>
      </c>
      <c r="I10" s="10">
        <f>Assumptions!I6</f>
        <v/>
      </c>
      <c r="J10" s="10">
        <f>Assumptions!J6</f>
        <v/>
      </c>
      <c r="K10" s="10">
        <f>Assumptions!K6</f>
        <v/>
      </c>
    </row>
    <row r="11">
      <c r="A11" s="2" t="inlineStr">
        <is>
          <t>Content Asset Additions</t>
        </is>
      </c>
      <c r="B11" s="12">
        <f>1500</f>
        <v/>
      </c>
      <c r="C11" s="12">
        <f>1500</f>
        <v/>
      </c>
      <c r="D11" s="12">
        <f>1500</f>
        <v/>
      </c>
      <c r="E11" s="12">
        <f>1500</f>
        <v/>
      </c>
      <c r="F11" s="12">
        <f>1500</f>
        <v/>
      </c>
      <c r="G11" s="12">
        <f>1500</f>
        <v/>
      </c>
      <c r="H11" s="12">
        <f>1500</f>
        <v/>
      </c>
      <c r="I11" s="12">
        <f>1500</f>
        <v/>
      </c>
      <c r="J11" s="12">
        <f>1500</f>
        <v/>
      </c>
      <c r="K11" s="12">
        <f>1500</f>
        <v/>
      </c>
    </row>
    <row r="12">
      <c r="A12" s="2" t="inlineStr">
        <is>
          <t>Total ICF</t>
        </is>
      </c>
      <c r="B12" s="9">
        <f>-(B10+B11)</f>
        <v/>
      </c>
      <c r="C12" s="9">
        <f>-(C10+C11)</f>
        <v/>
      </c>
      <c r="D12" s="9">
        <f>-(D10+D11)</f>
        <v/>
      </c>
      <c r="E12" s="9">
        <f>-(E10+E11)</f>
        <v/>
      </c>
      <c r="F12" s="9">
        <f>-(F10+F11)</f>
        <v/>
      </c>
      <c r="G12" s="9">
        <f>-(G10+G11)</f>
        <v/>
      </c>
      <c r="H12" s="9">
        <f>-(H10+H11)</f>
        <v/>
      </c>
      <c r="I12" s="9">
        <f>-(I10+I11)</f>
        <v/>
      </c>
      <c r="J12" s="9">
        <f>-(J10+J11)</f>
        <v/>
      </c>
      <c r="K12" s="9">
        <f>-(K10+K11)</f>
        <v/>
      </c>
    </row>
    <row r="13">
      <c r="A13" s="2" t="inlineStr"/>
    </row>
    <row r="14">
      <c r="A14" s="2" t="inlineStr">
        <is>
          <t>Financing Cash Flow</t>
        </is>
      </c>
    </row>
    <row r="15">
      <c r="A15" s="2" t="inlineStr">
        <is>
          <t>Debt Issuance</t>
        </is>
      </c>
      <c r="B15" s="12">
        <f>500</f>
        <v/>
      </c>
      <c r="C15" s="12">
        <f>500</f>
        <v/>
      </c>
      <c r="D15" s="12">
        <f>500</f>
        <v/>
      </c>
      <c r="E15" s="12">
        <f>500</f>
        <v/>
      </c>
      <c r="F15" s="12">
        <f>500</f>
        <v/>
      </c>
      <c r="G15" s="12">
        <f>500</f>
        <v/>
      </c>
      <c r="H15" s="12">
        <f>500</f>
        <v/>
      </c>
      <c r="I15" s="12">
        <f>500</f>
        <v/>
      </c>
      <c r="J15" s="12">
        <f>500</f>
        <v/>
      </c>
      <c r="K15" s="12">
        <f>500</f>
        <v/>
      </c>
    </row>
    <row r="16">
      <c r="A16" s="2" t="inlineStr">
        <is>
          <t>Debt Repayment</t>
        </is>
      </c>
      <c r="B16" s="12">
        <f>-500</f>
        <v/>
      </c>
      <c r="C16" s="12">
        <f>-500</f>
        <v/>
      </c>
      <c r="D16" s="12">
        <f>-500</f>
        <v/>
      </c>
      <c r="E16" s="12">
        <f>-500</f>
        <v/>
      </c>
      <c r="F16" s="12">
        <f>-500</f>
        <v/>
      </c>
      <c r="G16" s="12">
        <f>-500</f>
        <v/>
      </c>
      <c r="H16" s="12">
        <f>-500</f>
        <v/>
      </c>
      <c r="I16" s="12">
        <f>-500</f>
        <v/>
      </c>
      <c r="J16" s="12">
        <f>-500</f>
        <v/>
      </c>
      <c r="K16" s="12">
        <f>-500</f>
        <v/>
      </c>
    </row>
    <row r="17">
      <c r="A17" s="2" t="inlineStr">
        <is>
          <t>Share Buybacks</t>
        </is>
      </c>
      <c r="B17" s="12">
        <f>-2000</f>
        <v/>
      </c>
      <c r="C17" s="12">
        <f>-2000</f>
        <v/>
      </c>
      <c r="D17" s="12">
        <f>-2000</f>
        <v/>
      </c>
      <c r="E17" s="12">
        <f>-2000</f>
        <v/>
      </c>
      <c r="F17" s="12">
        <f>-2000</f>
        <v/>
      </c>
      <c r="G17" s="12">
        <f>-2000</f>
        <v/>
      </c>
      <c r="H17" s="12">
        <f>-2000</f>
        <v/>
      </c>
      <c r="I17" s="12">
        <f>-2000</f>
        <v/>
      </c>
      <c r="J17" s="12">
        <f>-2000</f>
        <v/>
      </c>
      <c r="K17" s="12">
        <f>-2000</f>
        <v/>
      </c>
    </row>
    <row r="18">
      <c r="A18" s="2" t="inlineStr">
        <is>
          <t>Dividends</t>
        </is>
      </c>
      <c r="B18" s="12">
        <f>0</f>
        <v/>
      </c>
      <c r="C18" s="12">
        <f>0</f>
        <v/>
      </c>
      <c r="D18" s="12">
        <f>0</f>
        <v/>
      </c>
      <c r="E18" s="12">
        <f>0</f>
        <v/>
      </c>
      <c r="F18" s="12">
        <f>0</f>
        <v/>
      </c>
      <c r="G18" s="12">
        <f>0</f>
        <v/>
      </c>
      <c r="H18" s="12">
        <f>0</f>
        <v/>
      </c>
      <c r="I18" s="12">
        <f>0</f>
        <v/>
      </c>
      <c r="J18" s="12">
        <f>0</f>
        <v/>
      </c>
      <c r="K18" s="12">
        <f>0</f>
        <v/>
      </c>
    </row>
    <row r="19">
      <c r="A19" s="2" t="inlineStr">
        <is>
          <t>Total FCF</t>
        </is>
      </c>
      <c r="B19" s="9">
        <f>B15+B16+B17+B18</f>
        <v/>
      </c>
      <c r="C19" s="9">
        <f>C15+C16+C17+C18</f>
        <v/>
      </c>
      <c r="D19" s="9">
        <f>D15+D16+D17+D18</f>
        <v/>
      </c>
      <c r="E19" s="9">
        <f>E15+E16+E17+E18</f>
        <v/>
      </c>
      <c r="F19" s="9">
        <f>F15+F16+F17+F18</f>
        <v/>
      </c>
      <c r="G19" s="9">
        <f>G15+G16+G17+G18</f>
        <v/>
      </c>
      <c r="H19" s="9">
        <f>H15+H16+H17+H18</f>
        <v/>
      </c>
      <c r="I19" s="9">
        <f>I15+I16+I17+I18</f>
        <v/>
      </c>
      <c r="J19" s="9">
        <f>J15+J16+J17+J18</f>
        <v/>
      </c>
      <c r="K19" s="9">
        <f>K15+K16+K17+K18</f>
        <v/>
      </c>
    </row>
    <row r="20">
      <c r="A20" s="2" t="inlineStr"/>
    </row>
    <row r="21">
      <c r="A21" s="2" t="inlineStr">
        <is>
          <t>Free Cash Flow</t>
        </is>
      </c>
      <c r="B21" s="9">
        <f>B7-B10-B11</f>
        <v/>
      </c>
      <c r="C21" s="9">
        <f>C7-C10-C11</f>
        <v/>
      </c>
      <c r="D21" s="9">
        <f>D7-D10-D11</f>
        <v/>
      </c>
      <c r="E21" s="9">
        <f>E7-E10-E11</f>
        <v/>
      </c>
      <c r="F21" s="9">
        <f>F7-F10-F11</f>
        <v/>
      </c>
      <c r="G21" s="9">
        <f>G7-G10-G11</f>
        <v/>
      </c>
      <c r="H21" s="9">
        <f>H7-H10-H11</f>
        <v/>
      </c>
      <c r="I21" s="9">
        <f>I7-I10-I11</f>
        <v/>
      </c>
      <c r="J21" s="9">
        <f>J7-J10-J11</f>
        <v/>
      </c>
      <c r="K21" s="9">
        <f>K7-K10-K11</f>
        <v/>
      </c>
    </row>
    <row r="22">
      <c r="A22" s="2" t="inlineStr">
        <is>
          <t>FCF Margin %</t>
        </is>
      </c>
      <c r="B22" s="11">
        <f>IFERROR(B21/'Income Statement'!B4,0)</f>
        <v/>
      </c>
      <c r="C22" s="11">
        <f>IFERROR(C21/'Income Statement'!C4,0)</f>
        <v/>
      </c>
      <c r="D22" s="11">
        <f>IFERROR(D21/'Income Statement'!D4,0)</f>
        <v/>
      </c>
      <c r="E22" s="11">
        <f>IFERROR(E21/'Income Statement'!E4,0)</f>
        <v/>
      </c>
      <c r="F22" s="11">
        <f>IFERROR(F21/'Income Statement'!F4,0)</f>
        <v/>
      </c>
      <c r="G22" s="11">
        <f>IFERROR(G21/'Income Statement'!G4,0)</f>
        <v/>
      </c>
      <c r="H22" s="11">
        <f>IFERROR(H21/'Income Statement'!H4,0)</f>
        <v/>
      </c>
      <c r="I22" s="11">
        <f>IFERROR(I21/'Income Statement'!I4,0)</f>
        <v/>
      </c>
      <c r="J22" s="11">
        <f>IFERROR(J21/'Income Statement'!J4,0)</f>
        <v/>
      </c>
      <c r="K22" s="11">
        <f>IFERROR(K21/'Income Statement'!K4,0)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Metric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2029E</t>
        </is>
      </c>
      <c r="K1" s="8" t="inlineStr">
        <is>
          <t>2030E</t>
        </is>
      </c>
    </row>
    <row r="2">
      <c r="A2" s="2" t="inlineStr">
        <is>
          <t>Streaming Revenue (Subs)</t>
        </is>
      </c>
      <c r="B2" s="9">
        <f>Assumptions!B3*Assumptions!B4*12</f>
        <v/>
      </c>
      <c r="C2" s="9">
        <f>Assumptions!C3*Assumptions!C4*12</f>
        <v/>
      </c>
      <c r="D2" s="9">
        <f>Assumptions!D3*Assumptions!D4*12</f>
        <v/>
      </c>
      <c r="E2" s="9">
        <f>Assumptions!E3*Assumptions!E4*12</f>
        <v/>
      </c>
      <c r="F2" s="9">
        <f>Assumptions!F3*Assumptions!F4*12</f>
        <v/>
      </c>
      <c r="G2" s="9">
        <f>Assumptions!G3*Assumptions!G4*12</f>
        <v/>
      </c>
      <c r="H2" s="9">
        <f>Assumptions!H3*Assumptions!H4*12</f>
        <v/>
      </c>
      <c r="I2" s="9">
        <f>Assumptions!I3*Assumptions!I4*12</f>
        <v/>
      </c>
      <c r="J2" s="9">
        <f>Assumptions!J3*Assumptions!J4*12</f>
        <v/>
      </c>
      <c r="K2" s="9">
        <f>Assumptions!K3*Assumptions!K4*12</f>
        <v/>
      </c>
    </row>
    <row r="3">
      <c r="A3" s="2" t="inlineStr">
        <is>
          <t>Advertising Revenue</t>
        </is>
      </c>
      <c r="B3" s="10">
        <f>Assumptions!B10</f>
        <v/>
      </c>
      <c r="C3" s="10">
        <f>Assumptions!C10</f>
        <v/>
      </c>
      <c r="D3" s="10">
        <f>Assumptions!D10</f>
        <v/>
      </c>
      <c r="E3" s="10">
        <f>Assumptions!E10</f>
        <v/>
      </c>
      <c r="F3" s="10">
        <f>Assumptions!F10</f>
        <v/>
      </c>
      <c r="G3" s="10">
        <f>Assumptions!G10</f>
        <v/>
      </c>
      <c r="H3" s="10">
        <f>Assumptions!H10</f>
        <v/>
      </c>
      <c r="I3" s="10">
        <f>Assumptions!I10</f>
        <v/>
      </c>
      <c r="J3" s="10">
        <f>Assumptions!J10</f>
        <v/>
      </c>
      <c r="K3" s="10">
        <f>Assumptions!K10</f>
        <v/>
      </c>
    </row>
    <row r="4">
      <c r="A4" s="2" t="inlineStr">
        <is>
          <t>Total Revenue</t>
        </is>
      </c>
      <c r="B4" s="9">
        <f>B2+B3</f>
        <v/>
      </c>
      <c r="C4" s="9">
        <f>C2+C3</f>
        <v/>
      </c>
      <c r="D4" s="9">
        <f>D2+D3</f>
        <v/>
      </c>
      <c r="E4" s="9">
        <f>E2+E3</f>
        <v/>
      </c>
      <c r="F4" s="9">
        <f>F2+F3</f>
        <v/>
      </c>
      <c r="G4" s="9">
        <f>G2+G3</f>
        <v/>
      </c>
      <c r="H4" s="9">
        <f>H2+H3</f>
        <v/>
      </c>
      <c r="I4" s="9">
        <f>I2+I3</f>
        <v/>
      </c>
      <c r="J4" s="9">
        <f>J2+J3</f>
        <v/>
      </c>
      <c r="K4" s="9">
        <f>K2+K3</f>
        <v/>
      </c>
    </row>
    <row r="5">
      <c r="A5" s="2" t="inlineStr"/>
    </row>
    <row r="6">
      <c r="A6" s="2" t="inlineStr">
        <is>
          <t>REGIONAL BREAKDOWN</t>
        </is>
      </c>
    </row>
    <row r="7">
      <c r="A7" s="2" t="inlineStr">
        <is>
          <t>UCAN Subscribers (M)</t>
        </is>
      </c>
      <c r="B7" s="18">
        <f>Assumptions!B3*0.25</f>
        <v/>
      </c>
      <c r="C7" s="18">
        <f>Assumptions!C3*0.25</f>
        <v/>
      </c>
      <c r="D7" s="18">
        <f>Assumptions!D3*0.25</f>
        <v/>
      </c>
      <c r="E7" s="18">
        <f>Assumptions!E3*0.25</f>
        <v/>
      </c>
      <c r="F7" s="18">
        <f>Assumptions!F3*0.25</f>
        <v/>
      </c>
      <c r="G7" s="18">
        <f>Assumptions!G3*0.25</f>
        <v/>
      </c>
      <c r="H7" s="18">
        <f>Assumptions!H3*0.25</f>
        <v/>
      </c>
      <c r="I7" s="18">
        <f>Assumptions!I3*0.25</f>
        <v/>
      </c>
      <c r="J7" s="18">
        <f>Assumptions!J3*0.25</f>
        <v/>
      </c>
      <c r="K7" s="18">
        <f>Assumptions!K3*0.25</f>
        <v/>
      </c>
    </row>
    <row r="8">
      <c r="A8" s="2" t="inlineStr">
        <is>
          <t>UCAN ARPU ($)</t>
        </is>
      </c>
      <c r="B8" s="19">
        <f>16.50</f>
        <v/>
      </c>
      <c r="C8" s="19">
        <f>16.50</f>
        <v/>
      </c>
      <c r="D8" s="19">
        <f>16.50</f>
        <v/>
      </c>
      <c r="E8" s="19">
        <f>16.50</f>
        <v/>
      </c>
      <c r="F8" s="19">
        <f>16.50</f>
        <v/>
      </c>
      <c r="G8" s="19">
        <f>16.50</f>
        <v/>
      </c>
      <c r="H8" s="19">
        <f>16.50</f>
        <v/>
      </c>
      <c r="I8" s="19">
        <f>16.50</f>
        <v/>
      </c>
      <c r="J8" s="19">
        <f>16.50</f>
        <v/>
      </c>
      <c r="K8" s="19">
        <f>16.50</f>
        <v/>
      </c>
    </row>
    <row r="9">
      <c r="A9" s="2" t="inlineStr">
        <is>
          <t>UCAN Revenue ($B)</t>
        </is>
      </c>
      <c r="B9" s="9">
        <f>B7*B8*12/1000</f>
        <v/>
      </c>
      <c r="C9" s="9">
        <f>C7*C8*12/1000</f>
        <v/>
      </c>
      <c r="D9" s="9">
        <f>D7*D8*12/1000</f>
        <v/>
      </c>
      <c r="E9" s="9">
        <f>E7*E8*12/1000</f>
        <v/>
      </c>
      <c r="F9" s="9">
        <f>F7*F8*12/1000</f>
        <v/>
      </c>
      <c r="G9" s="9">
        <f>G7*G8*12/1000</f>
        <v/>
      </c>
      <c r="H9" s="9">
        <f>H7*H8*12/1000</f>
        <v/>
      </c>
      <c r="I9" s="9">
        <f>I7*I8*12/1000</f>
        <v/>
      </c>
      <c r="J9" s="9">
        <f>J7*J8*12/1000</f>
        <v/>
      </c>
      <c r="K9" s="9">
        <f>K7*K8*12/1000</f>
        <v/>
      </c>
    </row>
    <row r="10">
      <c r="A10" s="2" t="inlineStr">
        <is>
          <t>EMEA Subscribers (M)</t>
        </is>
      </c>
      <c r="B10" s="18">
        <f>Assumptions!B3*0.30</f>
        <v/>
      </c>
      <c r="C10" s="18">
        <f>Assumptions!C3*0.30</f>
        <v/>
      </c>
      <c r="D10" s="18">
        <f>Assumptions!D3*0.30</f>
        <v/>
      </c>
      <c r="E10" s="18">
        <f>Assumptions!E3*0.30</f>
        <v/>
      </c>
      <c r="F10" s="18">
        <f>Assumptions!F3*0.30</f>
        <v/>
      </c>
      <c r="G10" s="18">
        <f>Assumptions!G3*0.30</f>
        <v/>
      </c>
      <c r="H10" s="18">
        <f>Assumptions!H3*0.30</f>
        <v/>
      </c>
      <c r="I10" s="18">
        <f>Assumptions!I3*0.30</f>
        <v/>
      </c>
      <c r="J10" s="18">
        <f>Assumptions!J3*0.30</f>
        <v/>
      </c>
      <c r="K10" s="18">
        <f>Assumptions!K3*0.30</f>
        <v/>
      </c>
    </row>
    <row r="11">
      <c r="A11" s="2" t="inlineStr">
        <is>
          <t>EMEA ARPU ($)</t>
        </is>
      </c>
      <c r="B11" s="19">
        <f>11.00</f>
        <v/>
      </c>
      <c r="C11" s="19">
        <f>11.00</f>
        <v/>
      </c>
      <c r="D11" s="19">
        <f>11.00</f>
        <v/>
      </c>
      <c r="E11" s="19">
        <f>11.00</f>
        <v/>
      </c>
      <c r="F11" s="19">
        <f>11.00</f>
        <v/>
      </c>
      <c r="G11" s="19">
        <f>11.00</f>
        <v/>
      </c>
      <c r="H11" s="19">
        <f>11.00</f>
        <v/>
      </c>
      <c r="I11" s="19">
        <f>11.00</f>
        <v/>
      </c>
      <c r="J11" s="19">
        <f>11.00</f>
        <v/>
      </c>
      <c r="K11" s="19">
        <f>11.00</f>
        <v/>
      </c>
    </row>
    <row r="12">
      <c r="A12" s="2" t="inlineStr">
        <is>
          <t>EMEA Revenue ($B)</t>
        </is>
      </c>
      <c r="B12" s="9">
        <f>B10*B11*12/1000</f>
        <v/>
      </c>
      <c r="C12" s="9">
        <f>C10*C11*12/1000</f>
        <v/>
      </c>
      <c r="D12" s="9">
        <f>D10*D11*12/1000</f>
        <v/>
      </c>
      <c r="E12" s="9">
        <f>E10*E11*12/1000</f>
        <v/>
      </c>
      <c r="F12" s="9">
        <f>F10*F11*12/1000</f>
        <v/>
      </c>
      <c r="G12" s="9">
        <f>G10*G11*12/1000</f>
        <v/>
      </c>
      <c r="H12" s="9">
        <f>H10*H11*12/1000</f>
        <v/>
      </c>
      <c r="I12" s="9">
        <f>I10*I11*12/1000</f>
        <v/>
      </c>
      <c r="J12" s="9">
        <f>J10*J11*12/1000</f>
        <v/>
      </c>
      <c r="K12" s="9">
        <f>K10*K11*12/1000</f>
        <v/>
      </c>
    </row>
    <row r="13">
      <c r="A13" s="2" t="inlineStr">
        <is>
          <t>APAC Subscribers (M)</t>
        </is>
      </c>
      <c r="B13" s="18">
        <f>Assumptions!B3*0.30</f>
        <v/>
      </c>
      <c r="C13" s="18">
        <f>Assumptions!C3*0.30</f>
        <v/>
      </c>
      <c r="D13" s="18">
        <f>Assumptions!D3*0.30</f>
        <v/>
      </c>
      <c r="E13" s="18">
        <f>Assumptions!E3*0.30</f>
        <v/>
      </c>
      <c r="F13" s="18">
        <f>Assumptions!F3*0.30</f>
        <v/>
      </c>
      <c r="G13" s="18">
        <f>Assumptions!G3*0.30</f>
        <v/>
      </c>
      <c r="H13" s="18">
        <f>Assumptions!H3*0.30</f>
        <v/>
      </c>
      <c r="I13" s="18">
        <f>Assumptions!I3*0.30</f>
        <v/>
      </c>
      <c r="J13" s="18">
        <f>Assumptions!J3*0.30</f>
        <v/>
      </c>
      <c r="K13" s="18">
        <f>Assumptions!K3*0.30</f>
        <v/>
      </c>
    </row>
    <row r="14">
      <c r="A14" s="2" t="inlineStr">
        <is>
          <t>APAC ARPU ($)</t>
        </is>
      </c>
      <c r="B14" s="19">
        <f>8.50</f>
        <v/>
      </c>
      <c r="C14" s="19">
        <f>8.50</f>
        <v/>
      </c>
      <c r="D14" s="19">
        <f>8.50</f>
        <v/>
      </c>
      <c r="E14" s="19">
        <f>8.50</f>
        <v/>
      </c>
      <c r="F14" s="19">
        <f>8.50</f>
        <v/>
      </c>
      <c r="G14" s="19">
        <f>8.50</f>
        <v/>
      </c>
      <c r="H14" s="19">
        <f>8.50</f>
        <v/>
      </c>
      <c r="I14" s="19">
        <f>8.50</f>
        <v/>
      </c>
      <c r="J14" s="19">
        <f>8.50</f>
        <v/>
      </c>
      <c r="K14" s="19">
        <f>8.50</f>
        <v/>
      </c>
    </row>
    <row r="15">
      <c r="A15" s="2" t="inlineStr">
        <is>
          <t>APAC Revenue ($B)</t>
        </is>
      </c>
      <c r="B15" s="9">
        <f>B13*B14*12/1000</f>
        <v/>
      </c>
      <c r="C15" s="9">
        <f>C13*C14*12/1000</f>
        <v/>
      </c>
      <c r="D15" s="9">
        <f>D13*D14*12/1000</f>
        <v/>
      </c>
      <c r="E15" s="9">
        <f>E13*E14*12/1000</f>
        <v/>
      </c>
      <c r="F15" s="9">
        <f>F13*F14*12/1000</f>
        <v/>
      </c>
      <c r="G15" s="9">
        <f>G13*G14*12/1000</f>
        <v/>
      </c>
      <c r="H15" s="9">
        <f>H13*H14*12/1000</f>
        <v/>
      </c>
      <c r="I15" s="9">
        <f>I13*I14*12/1000</f>
        <v/>
      </c>
      <c r="J15" s="9">
        <f>J13*J14*12/1000</f>
        <v/>
      </c>
      <c r="K15" s="9">
        <f>K13*K14*12/1000</f>
        <v/>
      </c>
    </row>
    <row r="16">
      <c r="A16" s="2" t="inlineStr">
        <is>
          <t>LATAM Subscribers (M)</t>
        </is>
      </c>
      <c r="B16" s="18">
        <f>Assumptions!B3*0.15</f>
        <v/>
      </c>
      <c r="C16" s="18">
        <f>Assumptions!C3*0.15</f>
        <v/>
      </c>
      <c r="D16" s="18">
        <f>Assumptions!D3*0.15</f>
        <v/>
      </c>
      <c r="E16" s="18">
        <f>Assumptions!E3*0.15</f>
        <v/>
      </c>
      <c r="F16" s="18">
        <f>Assumptions!F3*0.15</f>
        <v/>
      </c>
      <c r="G16" s="18">
        <f>Assumptions!G3*0.15</f>
        <v/>
      </c>
      <c r="H16" s="18">
        <f>Assumptions!H3*0.15</f>
        <v/>
      </c>
      <c r="I16" s="18">
        <f>Assumptions!I3*0.15</f>
        <v/>
      </c>
      <c r="J16" s="18">
        <f>Assumptions!J3*0.15</f>
        <v/>
      </c>
      <c r="K16" s="18">
        <f>Assumptions!K3*0.15</f>
        <v/>
      </c>
    </row>
    <row r="17">
      <c r="A17" s="2" t="inlineStr">
        <is>
          <t>LATAM ARPU ($)</t>
        </is>
      </c>
      <c r="B17" s="19">
        <f>7.00</f>
        <v/>
      </c>
      <c r="C17" s="19">
        <f>7.00</f>
        <v/>
      </c>
      <c r="D17" s="19">
        <f>7.00</f>
        <v/>
      </c>
      <c r="E17" s="19">
        <f>7.00</f>
        <v/>
      </c>
      <c r="F17" s="19">
        <f>7.00</f>
        <v/>
      </c>
      <c r="G17" s="19">
        <f>7.00</f>
        <v/>
      </c>
      <c r="H17" s="19">
        <f>7.00</f>
        <v/>
      </c>
      <c r="I17" s="19">
        <f>7.00</f>
        <v/>
      </c>
      <c r="J17" s="19">
        <f>7.00</f>
        <v/>
      </c>
      <c r="K17" s="19">
        <f>7.00</f>
        <v/>
      </c>
    </row>
    <row r="18">
      <c r="A18" s="2" t="inlineStr">
        <is>
          <t>LATAM Revenue ($B)</t>
        </is>
      </c>
      <c r="B18" s="9">
        <f>B16*B17*12/1000</f>
        <v/>
      </c>
      <c r="C18" s="9">
        <f>C16*C17*12/1000</f>
        <v/>
      </c>
      <c r="D18" s="9">
        <f>D16*D17*12/1000</f>
        <v/>
      </c>
      <c r="E18" s="9">
        <f>E16*E17*12/1000</f>
        <v/>
      </c>
      <c r="F18" s="9">
        <f>F16*F17*12/1000</f>
        <v/>
      </c>
      <c r="G18" s="9">
        <f>G16*G17*12/1000</f>
        <v/>
      </c>
      <c r="H18" s="9">
        <f>H16*H17*12/1000</f>
        <v/>
      </c>
      <c r="I18" s="9">
        <f>I16*I17*12/1000</f>
        <v/>
      </c>
      <c r="J18" s="9">
        <f>J16*J17*12/1000</f>
        <v/>
      </c>
      <c r="K18" s="9">
        <f>K16*K17*12/1000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0" t="inlineStr">
        <is>
          <t>WACC CALCULATION</t>
        </is>
      </c>
      <c r="B1" s="21" t="inlineStr"/>
      <c r="G1" s="118" t="inlineStr">
        <is>
          <t>Notes</t>
        </is>
      </c>
    </row>
    <row r="2">
      <c r="A2" s="2" t="inlineStr">
        <is>
          <t>Risk-Free Rate (%)</t>
        </is>
      </c>
      <c r="B2" s="22">
        <f>Assumptions!B13*100</f>
        <v/>
      </c>
      <c r="G2" s="40" t="inlineStr">
        <is>
          <t>DCF Calculation</t>
        </is>
      </c>
    </row>
    <row r="3">
      <c r="A3" s="2" t="inlineStr">
        <is>
          <t>Equity Risk Premium (%)</t>
        </is>
      </c>
      <c r="B3" s="22">
        <f>Assumptions!B14*100</f>
        <v/>
      </c>
      <c r="G3" s="40" t="inlineStr">
        <is>
          <t>Risk-free rate</t>
        </is>
      </c>
    </row>
    <row r="4">
      <c r="A4" s="2" t="inlineStr">
        <is>
          <t>Beta</t>
        </is>
      </c>
      <c r="B4" s="23">
        <f>Assumptions!B15</f>
        <v/>
      </c>
      <c r="G4" s="40" t="inlineStr">
        <is>
          <t>ERP added</t>
        </is>
      </c>
    </row>
    <row r="5">
      <c r="A5" s="2" t="inlineStr">
        <is>
          <t>Cost of Equity (%)</t>
        </is>
      </c>
      <c r="B5" s="22">
        <f>Assumptions!B16*100</f>
        <v/>
      </c>
      <c r="G5" s="40" t="inlineStr">
        <is>
          <t>Beta multiplier</t>
        </is>
      </c>
    </row>
    <row r="6">
      <c r="A6" s="2" t="inlineStr">
        <is>
          <t>Cost of Debt (%)</t>
        </is>
      </c>
      <c r="B6" s="22">
        <f>Assumptions!B17*100</f>
        <v/>
      </c>
      <c r="G6" s="40" t="inlineStr">
        <is>
          <t>Equity cost</t>
        </is>
      </c>
    </row>
    <row r="7">
      <c r="A7" s="2" t="inlineStr">
        <is>
          <t>Tax Shield (%)</t>
        </is>
      </c>
      <c r="B7" s="22">
        <f>Assumptions!B18/100</f>
        <v/>
      </c>
      <c r="G7" s="40" t="inlineStr">
        <is>
          <t>Debt cost</t>
        </is>
      </c>
    </row>
    <row r="8">
      <c r="A8" s="2" t="inlineStr">
        <is>
          <t>WACC (%)</t>
        </is>
      </c>
      <c r="B8" s="22">
        <f>Assumptions!B19*100</f>
        <v/>
      </c>
      <c r="G8" s="40" t="inlineStr">
        <is>
          <t>Tax benefit</t>
        </is>
      </c>
    </row>
    <row r="9">
      <c r="A9" s="2" t="inlineStr"/>
      <c r="B9" s="21" t="inlineStr"/>
      <c r="G9" s="40" t="inlineStr">
        <is>
          <t>WACC</t>
        </is>
      </c>
    </row>
    <row r="10">
      <c r="A10" s="20" t="inlineStr">
        <is>
          <t>DCF VALUATION (2026E-2030E)</t>
        </is>
      </c>
      <c r="B10" s="21" t="inlineStr"/>
    </row>
    <row r="11">
      <c r="A11" s="24" t="inlineStr">
        <is>
          <t>Year</t>
        </is>
      </c>
      <c r="B11" s="25" t="inlineStr">
        <is>
          <t>2026E</t>
        </is>
      </c>
      <c r="C11" s="25" t="inlineStr">
        <is>
          <t>2027E</t>
        </is>
      </c>
      <c r="D11" s="25" t="inlineStr">
        <is>
          <t>2028E</t>
        </is>
      </c>
      <c r="E11" s="25" t="inlineStr">
        <is>
          <t>2029E</t>
        </is>
      </c>
      <c r="F11" s="25" t="inlineStr">
        <is>
          <t>2030E</t>
        </is>
      </c>
    </row>
    <row r="12">
      <c r="A12" s="2" t="inlineStr">
        <is>
          <t>Free Cash Flow ($B)</t>
        </is>
      </c>
      <c r="B12" s="10">
        <f>'Cash Flow'!G21</f>
        <v/>
      </c>
      <c r="C12" s="10">
        <f>'Cash Flow'!H21</f>
        <v/>
      </c>
      <c r="D12" s="10">
        <f>'Cash Flow'!I21</f>
        <v/>
      </c>
      <c r="E12" s="10">
        <f>'Cash Flow'!J21</f>
        <v/>
      </c>
      <c r="F12" s="10">
        <f>'Cash Flow'!K21</f>
        <v/>
      </c>
    </row>
    <row r="13">
      <c r="A13" s="2" t="inlineStr">
        <is>
          <t>Discount Factor</t>
        </is>
      </c>
      <c r="B13" s="26">
        <f>1/(1+Assumptions!B19)^1</f>
        <v/>
      </c>
      <c r="C13" s="26">
        <f>1/(1+Assumptions!B19)^2</f>
        <v/>
      </c>
      <c r="D13" s="26">
        <f>1/(1+Assumptions!B19)^3</f>
        <v/>
      </c>
      <c r="E13" s="26">
        <f>1/(1+Assumptions!B19)^4</f>
        <v/>
      </c>
      <c r="F13" s="26">
        <f>1/(1+Assumptions!B19)^5</f>
        <v/>
      </c>
    </row>
    <row r="14">
      <c r="A14" s="2" t="inlineStr">
        <is>
          <t>PV of FCF ($B)</t>
        </is>
      </c>
      <c r="B14" s="9">
        <f>B12*B13</f>
        <v/>
      </c>
      <c r="C14" s="9">
        <f>C12*C13</f>
        <v/>
      </c>
      <c r="D14" s="9">
        <f>D12*D13</f>
        <v/>
      </c>
      <c r="E14" s="9">
        <f>E12*E13</f>
        <v/>
      </c>
      <c r="F14" s="9">
        <f>F12*F13</f>
        <v/>
      </c>
    </row>
    <row r="16">
      <c r="A16" s="2" t="inlineStr">
        <is>
          <t>Sum of PV FCFs</t>
        </is>
      </c>
      <c r="B16" s="27">
        <f>SUM(B14:F14)</f>
        <v/>
      </c>
    </row>
    <row r="17">
      <c r="A17" s="2" t="inlineStr"/>
      <c r="B17" s="28" t="inlineStr"/>
    </row>
    <row r="18">
      <c r="A18" s="2" t="inlineStr">
        <is>
          <t>Terminal Value Calc</t>
        </is>
      </c>
      <c r="B18" s="28" t="inlineStr"/>
    </row>
    <row r="19">
      <c r="A19" s="2" t="inlineStr">
        <is>
          <t>2030E FCF ($B)</t>
        </is>
      </c>
      <c r="B19" s="27">
        <f>B12</f>
        <v/>
      </c>
    </row>
    <row r="20">
      <c r="A20" s="2" t="inlineStr">
        <is>
          <t>Terminal Growth Rate</t>
        </is>
      </c>
      <c r="B20" s="22">
        <f>Assumptions!B20</f>
        <v/>
      </c>
    </row>
    <row r="21">
      <c r="A21" s="2" t="inlineStr">
        <is>
          <t>WACC</t>
        </is>
      </c>
      <c r="B21" s="27">
        <f>Assumptions!B19</f>
        <v/>
      </c>
    </row>
    <row r="22">
      <c r="A22" s="2" t="inlineStr">
        <is>
          <t>Terminal Value</t>
        </is>
      </c>
      <c r="B22" s="27">
        <f>B17*(1+B18)/(B19-B18)</f>
        <v/>
      </c>
    </row>
    <row r="23">
      <c r="A23" s="2" t="inlineStr">
        <is>
          <t>PV of Terminal Value</t>
        </is>
      </c>
      <c r="B23" s="27">
        <f>B20*1/(1+Assumptions!B19)^5</f>
        <v/>
      </c>
    </row>
    <row r="24">
      <c r="A24" s="2" t="inlineStr"/>
      <c r="B24" s="28" t="inlineStr"/>
    </row>
    <row r="25">
      <c r="A25" s="20" t="inlineStr">
        <is>
          <t>EQUITY VALUATION</t>
        </is>
      </c>
      <c r="B25" s="28" t="inlineStr"/>
    </row>
    <row r="26">
      <c r="A26" s="2" t="inlineStr">
        <is>
          <t>PV of FCF (2026-2030)</t>
        </is>
      </c>
      <c r="B26" s="27">
        <f>B16</f>
        <v/>
      </c>
    </row>
    <row r="27">
      <c r="A27" s="2" t="inlineStr">
        <is>
          <t>PV of Terminal Value</t>
        </is>
      </c>
      <c r="B27" s="27">
        <f>B22</f>
        <v/>
      </c>
    </row>
    <row r="28">
      <c r="A28" s="2" t="inlineStr">
        <is>
          <t>Enterprise Value</t>
        </is>
      </c>
      <c r="B28" s="27">
        <f>B27+B28</f>
        <v/>
      </c>
    </row>
    <row r="29">
      <c r="A29" s="2" t="inlineStr">
        <is>
          <t>Less: Net Debt</t>
        </is>
      </c>
      <c r="B29" s="27">
        <f>12000</f>
        <v/>
      </c>
    </row>
    <row r="30">
      <c r="A30" s="2" t="inlineStr">
        <is>
          <t>Equity Value ($B)</t>
        </is>
      </c>
      <c r="B30" s="27">
        <f>B29-B30</f>
        <v/>
      </c>
    </row>
    <row r="31">
      <c r="A31" s="2" t="inlineStr">
        <is>
          <t>Shares Outstanding (M)</t>
        </is>
      </c>
      <c r="B31" s="27">
        <f>425.5</f>
        <v/>
      </c>
    </row>
    <row r="32">
      <c r="A32" s="2" t="inlineStr">
        <is>
          <t>Value Per Share</t>
        </is>
      </c>
      <c r="B32" s="27">
        <f>B31/B32*1000</f>
        <v/>
      </c>
    </row>
    <row r="33">
      <c r="A33" s="40" t="inlineStr"/>
      <c r="B33" s="106" t="inlineStr"/>
    </row>
    <row r="34">
      <c r="A34" s="37" t="inlineStr">
        <is>
          <t>SENSITIVITY ANALYSIS</t>
        </is>
      </c>
      <c r="B34" s="106" t="inlineStr"/>
    </row>
    <row r="35">
      <c r="A35" s="40" t="inlineStr">
        <is>
          <t>WACC vs Terminal Growth</t>
        </is>
      </c>
      <c r="B35" s="106" t="inlineStr"/>
    </row>
    <row r="36">
      <c r="A36" s="40" t="inlineStr"/>
      <c r="B36" s="106" t="inlineStr">
        <is>
          <t>WACC (rows) / Terminal Growth (cols)</t>
        </is>
      </c>
    </row>
    <row r="37">
      <c r="A37" s="40" t="inlineStr"/>
      <c r="B37" s="106" t="inlineStr">
        <is>
          <t>2.0%</t>
        </is>
      </c>
      <c r="C37" s="106" t="inlineStr">
        <is>
          <t>2.5%</t>
        </is>
      </c>
      <c r="D37" s="106" t="inlineStr">
        <is>
          <t>3.0%</t>
        </is>
      </c>
      <c r="E37" s="106" t="inlineStr">
        <is>
          <t>3.5%</t>
        </is>
      </c>
      <c r="F37" s="106" t="inlineStr">
        <is>
          <t>4.0%</t>
        </is>
      </c>
    </row>
    <row r="38">
      <c r="A38" s="40" t="inlineStr">
        <is>
          <t>8.0%</t>
        </is>
      </c>
      <c r="B38" s="107">
        <f>B24/(0.08-0.02)</f>
        <v/>
      </c>
      <c r="C38" s="107">
        <f>B24/(0.08-0.025)</f>
        <v/>
      </c>
      <c r="D38" s="107">
        <f>B24/(0.08-0.03)</f>
        <v/>
      </c>
      <c r="E38" s="107">
        <f>B24/(0.08-0.035)</f>
        <v/>
      </c>
      <c r="F38" s="107">
        <f>B24/(0.08-0.04)</f>
        <v/>
      </c>
    </row>
    <row r="39">
      <c r="A39" s="40" t="inlineStr">
        <is>
          <t>8.5%</t>
        </is>
      </c>
      <c r="B39" s="107">
        <f>B24/(0.085-0.02)</f>
        <v/>
      </c>
      <c r="C39" s="107">
        <f>B24/(0.085-0.025)</f>
        <v/>
      </c>
      <c r="D39" s="107">
        <f>B24/(0.085-0.03)</f>
        <v/>
      </c>
      <c r="E39" s="107">
        <f>B24/(0.085-0.035)</f>
        <v/>
      </c>
      <c r="F39" s="107">
        <f>B24/(0.085-0.04)</f>
        <v/>
      </c>
    </row>
    <row r="40">
      <c r="A40" s="40" t="inlineStr">
        <is>
          <t>9.2%</t>
        </is>
      </c>
      <c r="B40" s="107">
        <f>B24/(0.092-0.02)</f>
        <v/>
      </c>
      <c r="C40" s="107">
        <f>B24/(0.092-0.025)</f>
        <v/>
      </c>
      <c r="D40" s="107">
        <f>B24/(0.092-0.03)</f>
        <v/>
      </c>
      <c r="E40" s="107">
        <f>B24/(0.092-0.035)</f>
        <v/>
      </c>
      <c r="F40" s="107">
        <f>B24/(0.092-0.04)</f>
        <v/>
      </c>
    </row>
    <row r="41">
      <c r="A41" s="40" t="inlineStr">
        <is>
          <t>9.5%</t>
        </is>
      </c>
      <c r="B41" s="107">
        <f>B24/(0.095-0.02)</f>
        <v/>
      </c>
      <c r="C41" s="107">
        <f>B24/(0.095-0.025)</f>
        <v/>
      </c>
      <c r="D41" s="107">
        <f>B24/(0.095-0.03)</f>
        <v/>
      </c>
      <c r="E41" s="107">
        <f>B24/(0.095-0.035)</f>
        <v/>
      </c>
      <c r="F41" s="107">
        <f>B24/(0.095-0.04)</f>
        <v/>
      </c>
    </row>
    <row r="42">
      <c r="A42" s="40" t="inlineStr">
        <is>
          <t>10.0%</t>
        </is>
      </c>
      <c r="B42" s="107">
        <f>B24/(0.10-0.02)</f>
        <v/>
      </c>
      <c r="C42" s="107">
        <f>B24/(0.10-0.025)</f>
        <v/>
      </c>
      <c r="D42" s="107">
        <f>B24/(0.10-0.03)</f>
        <v/>
      </c>
      <c r="E42" s="107">
        <f>B24/(0.10-0.035)</f>
        <v/>
      </c>
      <c r="F42" s="107">
        <f>B24/(0.10-0.04)</f>
        <v/>
      </c>
    </row>
    <row r="43">
      <c r="A43" s="40" t="inlineStr">
        <is>
          <t>10.5%</t>
        </is>
      </c>
      <c r="B43" s="107">
        <f>B24/(0.105-0.02)</f>
        <v/>
      </c>
      <c r="C43" s="107">
        <f>B24/(0.105-0.025)</f>
        <v/>
      </c>
      <c r="D43" s="107">
        <f>B24/(0.105-0.03)</f>
        <v/>
      </c>
      <c r="E43" s="107">
        <f>B24/(0.105-0.035)</f>
        <v/>
      </c>
      <c r="F43" s="107">
        <f>B24/(0.105-0.04)</f>
        <v/>
      </c>
    </row>
    <row r="44">
      <c r="A44" s="40" t="inlineStr">
        <is>
          <t>11.0%</t>
        </is>
      </c>
      <c r="B44" s="107">
        <f>B24/(0.11-0.02)</f>
        <v/>
      </c>
      <c r="C44" s="107">
        <f>B24/(0.11-0.025)</f>
        <v/>
      </c>
      <c r="D44" s="107">
        <f>B24/(0.11-0.03)</f>
        <v/>
      </c>
      <c r="E44" s="107">
        <f>B24/(0.11-0.035)</f>
        <v/>
      </c>
      <c r="F44" s="107">
        <f>B24/(0.11-0.04)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0" t="inlineStr">
        <is>
          <t>SUM-OF-THE-PARTS VALUATION</t>
        </is>
      </c>
      <c r="B1" s="29" t="inlineStr"/>
      <c r="C1" s="29" t="inlineStr"/>
      <c r="D1" s="29" t="inlineStr"/>
      <c r="E1" s="29" t="inlineStr"/>
      <c r="F1" s="29" t="inlineStr"/>
    </row>
    <row r="2">
      <c r="A2" s="2" t="inlineStr"/>
      <c r="B2" s="29" t="inlineStr"/>
      <c r="C2" s="29" t="inlineStr"/>
      <c r="D2" s="29" t="inlineStr"/>
      <c r="E2" s="29" t="inlineStr"/>
      <c r="F2" s="29" t="inlineStr"/>
    </row>
    <row r="3">
      <c r="A3" s="20" t="inlineStr">
        <is>
          <t>Segment</t>
        </is>
      </c>
      <c r="B3" s="30" t="inlineStr">
        <is>
          <t>Value ($B)</t>
        </is>
      </c>
      <c r="C3" s="30" t="inlineStr">
        <is>
          <t>Probability</t>
        </is>
      </c>
      <c r="D3" s="30" t="inlineStr">
        <is>
          <t>Risk-Adj Value ($B)</t>
        </is>
      </c>
      <c r="E3" s="30" t="inlineStr">
        <is>
          <t>% of Total</t>
        </is>
      </c>
      <c r="F3" s="30" t="inlineStr"/>
    </row>
    <row r="4">
      <c r="A4" s="2" t="inlineStr">
        <is>
          <t>Core Streaming</t>
        </is>
      </c>
      <c r="B4" s="31" t="n">
        <v>300</v>
      </c>
      <c r="C4" s="32" t="n">
        <v>0.95</v>
      </c>
      <c r="D4" s="33">
        <f>B4*C4</f>
        <v/>
      </c>
      <c r="E4" s="34">
        <f>D4/IFERROR(SUM(D$4:D$8),1)</f>
        <v/>
      </c>
      <c r="F4" s="29" t="inlineStr"/>
    </row>
    <row r="5">
      <c r="A5" s="2" t="inlineStr">
        <is>
          <t>Advertising Business</t>
        </is>
      </c>
      <c r="B5" s="31" t="n">
        <v>40.5</v>
      </c>
      <c r="C5" s="32" t="n">
        <v>0.7</v>
      </c>
      <c r="D5" s="33">
        <f>B5*C5</f>
        <v/>
      </c>
      <c r="E5" s="34">
        <f>D5/IFERROR(SUM(D$4:D$8),1)</f>
        <v/>
      </c>
      <c r="F5" s="29" t="inlineStr"/>
    </row>
    <row r="6">
      <c r="A6" s="2" t="inlineStr">
        <is>
          <t>Live Sports (Future)</t>
        </is>
      </c>
      <c r="B6" s="31" t="n">
        <v>20</v>
      </c>
      <c r="C6" s="32" t="n">
        <v>0.4</v>
      </c>
      <c r="D6" s="33">
        <f>B6*C6</f>
        <v/>
      </c>
      <c r="E6" s="34">
        <f>D6/IFERROR(SUM(D$4:D$8),1)</f>
        <v/>
      </c>
      <c r="F6" s="29" t="inlineStr"/>
    </row>
    <row r="7">
      <c r="A7" s="2" t="inlineStr">
        <is>
          <t>Gaming &amp; Interactivity</t>
        </is>
      </c>
      <c r="B7" s="31" t="n">
        <v>15</v>
      </c>
      <c r="C7" s="32" t="n">
        <v>0.25</v>
      </c>
      <c r="D7" s="33">
        <f>B7*C7</f>
        <v/>
      </c>
      <c r="E7" s="34">
        <f>D7/IFERROR(SUM(D$4:D$8),1)</f>
        <v/>
      </c>
      <c r="F7" s="29" t="inlineStr"/>
    </row>
    <row r="8">
      <c r="A8" s="2" t="inlineStr">
        <is>
          <t>ARPU Expansion Upside</t>
        </is>
      </c>
      <c r="B8" s="31" t="n">
        <v>15</v>
      </c>
      <c r="C8" s="32" t="n">
        <v>0.6</v>
      </c>
      <c r="D8" s="33">
        <f>B8*C8</f>
        <v/>
      </c>
      <c r="E8" s="34">
        <f>D8/IFERROR(SUM(D$4:D$8),1)</f>
        <v/>
      </c>
      <c r="F8" s="29" t="inlineStr"/>
    </row>
    <row r="9">
      <c r="A9" s="2" t="inlineStr"/>
      <c r="B9" s="35" t="inlineStr"/>
      <c r="C9" s="36" t="inlineStr"/>
      <c r="D9" s="35" t="inlineStr"/>
      <c r="E9" s="29" t="inlineStr"/>
      <c r="F9" s="29" t="inlineStr"/>
    </row>
    <row r="10">
      <c r="A10" s="2" t="inlineStr">
        <is>
          <t>Total SOTP Value ($B)</t>
        </is>
      </c>
      <c r="B10" s="34">
        <f>SUM(D4:D8)</f>
        <v/>
      </c>
      <c r="C10" s="36" t="inlineStr"/>
      <c r="D10" s="29" t="inlineStr"/>
      <c r="E10" s="29" t="inlineStr"/>
      <c r="F10" s="29" t="inlineStr"/>
    </row>
    <row r="11">
      <c r="A11" s="2" t="inlineStr">
        <is>
          <t>Less: Net Debt ($B)</t>
        </is>
      </c>
      <c r="B11" s="7" t="n">
        <v>12</v>
      </c>
      <c r="C11" s="36" t="inlineStr"/>
      <c r="D11" s="29" t="inlineStr"/>
      <c r="E11" s="29" t="inlineStr"/>
      <c r="F11" s="29" t="inlineStr"/>
    </row>
    <row r="12">
      <c r="A12" s="2" t="inlineStr">
        <is>
          <t>Equity Value ($B)</t>
        </is>
      </c>
      <c r="B12" s="34">
        <f>B12-B13</f>
        <v/>
      </c>
      <c r="C12" s="36" t="inlineStr"/>
      <c r="D12" s="29" t="inlineStr"/>
      <c r="E12" s="29" t="inlineStr"/>
      <c r="F12" s="29" t="inlineStr"/>
    </row>
    <row r="13">
      <c r="A13" s="2" t="inlineStr">
        <is>
          <t>Shares Outstanding (M)</t>
        </is>
      </c>
      <c r="B13" s="7" t="n">
        <v>425.5</v>
      </c>
      <c r="C13" s="36" t="inlineStr"/>
      <c r="D13" s="29" t="inlineStr"/>
      <c r="E13" s="29" t="inlineStr"/>
      <c r="F13" s="29" t="inlineStr"/>
    </row>
    <row r="14">
      <c r="A14" s="2" t="inlineStr">
        <is>
          <t>Value Per Share</t>
        </is>
      </c>
      <c r="B14" s="34">
        <f>B14/B15*1000</f>
        <v/>
      </c>
      <c r="C14" s="36" t="inlineStr"/>
      <c r="D14" s="29" t="inlineStr"/>
      <c r="E14" s="29" t="inlineStr"/>
      <c r="F14" s="29" t="inlineStr"/>
    </row>
    <row r="15">
      <c r="A15" s="108" t="inlineStr"/>
      <c r="B15" s="108" t="inlineStr"/>
      <c r="C15" s="108" t="inlineStr"/>
      <c r="D15" s="108" t="inlineStr"/>
      <c r="E15" s="108" t="inlineStr"/>
      <c r="F15" s="108" t="inlineStr"/>
    </row>
    <row r="16">
      <c r="A16" s="109" t="inlineStr">
        <is>
          <t>SENSITIVITY: Probability Adjustments</t>
        </is>
      </c>
      <c r="B16" s="108" t="inlineStr"/>
      <c r="C16" s="108" t="inlineStr"/>
      <c r="D16" s="108" t="inlineStr"/>
      <c r="E16" s="108" t="inlineStr"/>
      <c r="F16" s="108" t="inlineStr"/>
    </row>
    <row r="17">
      <c r="A17" s="108" t="inlineStr">
        <is>
          <t>Conservative (Lower Probs)</t>
        </is>
      </c>
      <c r="B17" s="110">
        <f>B4*0.75</f>
        <v/>
      </c>
      <c r="C17" s="110">
        <f>B5*0.60</f>
        <v/>
      </c>
      <c r="D17" s="110">
        <f>B6*0.30</f>
        <v/>
      </c>
      <c r="E17" s="110">
        <f>B7*0.15</f>
        <v/>
      </c>
      <c r="F17" s="110">
        <f>B8*0.40</f>
        <v/>
      </c>
      <c r="G17" s="110">
        <f>SUM(D2:D7)</f>
        <v/>
      </c>
    </row>
    <row r="18">
      <c r="A18" s="108" t="inlineStr">
        <is>
          <t>Bull Case (Higher Probs)</t>
        </is>
      </c>
      <c r="B18" s="110">
        <f>B4*0.98</f>
        <v/>
      </c>
      <c r="C18" s="110">
        <f>B5*0.85</f>
        <v/>
      </c>
      <c r="D18" s="110">
        <f>B6*0.55</f>
        <v/>
      </c>
      <c r="E18" s="110">
        <f>B7*0.40</f>
        <v/>
      </c>
      <c r="F18" s="110">
        <f>B8*0.75</f>
        <v/>
      </c>
      <c r="G18" s="110">
        <f>SUM(D3:D8)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7" t="inlineStr">
        <is>
          <t>SCENARIO ANALYSIS</t>
        </is>
      </c>
      <c r="B1" s="38" t="inlineStr"/>
      <c r="C1" s="39" t="inlineStr"/>
      <c r="D1" s="38" t="inlineStr"/>
      <c r="E1" s="38" t="inlineStr"/>
      <c r="F1" s="39" t="inlineStr"/>
    </row>
    <row r="2">
      <c r="A2" s="40" t="inlineStr"/>
      <c r="B2" s="38" t="inlineStr"/>
      <c r="C2" s="39" t="inlineStr"/>
      <c r="D2" s="38" t="inlineStr"/>
      <c r="E2" s="38" t="inlineStr"/>
      <c r="F2" s="39" t="inlineStr"/>
    </row>
    <row r="3">
      <c r="A3" s="37" t="inlineStr">
        <is>
          <t>Scenario</t>
        </is>
      </c>
      <c r="B3" s="41" t="inlineStr">
        <is>
          <t>Price Target ($)</t>
        </is>
      </c>
      <c r="C3" s="42" t="inlineStr">
        <is>
          <t>Probability %</t>
        </is>
      </c>
      <c r="D3" s="41" t="inlineStr">
        <is>
          <t>Risk-Adjusted Value ($)</t>
        </is>
      </c>
      <c r="E3" s="41" t="inlineStr">
        <is>
          <t>vs Current ($94.96)</t>
        </is>
      </c>
      <c r="F3" s="42" t="inlineStr">
        <is>
          <t>Upside/(Downside) %</t>
        </is>
      </c>
    </row>
    <row r="4">
      <c r="A4" s="40" t="inlineStr">
        <is>
          <t>Tail Bull</t>
        </is>
      </c>
      <c r="B4" s="43" t="n">
        <v>160</v>
      </c>
      <c r="C4" s="44" t="n">
        <v>8</v>
      </c>
      <c r="D4" s="45">
        <f>B5*C5</f>
        <v/>
      </c>
      <c r="E4" s="45">
        <f>D5-$D$5</f>
        <v/>
      </c>
      <c r="F4" s="46">
        <f>E5/$D$5</f>
        <v/>
      </c>
    </row>
    <row r="5">
      <c r="A5" s="40" t="inlineStr">
        <is>
          <t>Bull</t>
        </is>
      </c>
      <c r="B5" s="43" t="n">
        <v>138</v>
      </c>
      <c r="C5" s="44" t="n">
        <v>30</v>
      </c>
      <c r="D5" s="45">
        <f>B6*C6</f>
        <v/>
      </c>
      <c r="E5" s="45">
        <f>D6-$D$5</f>
        <v/>
      </c>
      <c r="F5" s="46">
        <f>E6/$D$6</f>
        <v/>
      </c>
    </row>
    <row r="6">
      <c r="A6" s="40" t="inlineStr">
        <is>
          <t>Base Case</t>
        </is>
      </c>
      <c r="B6" s="43" t="n">
        <v>109</v>
      </c>
      <c r="C6" s="44" t="n">
        <v>35</v>
      </c>
      <c r="D6" s="45">
        <f>B7*C7</f>
        <v/>
      </c>
      <c r="E6" s="45">
        <f>D7-$D$5</f>
        <v/>
      </c>
      <c r="F6" s="46">
        <f>E7/$D$7</f>
        <v/>
      </c>
    </row>
    <row r="7">
      <c r="A7" s="40" t="inlineStr">
        <is>
          <t>Bear</t>
        </is>
      </c>
      <c r="B7" s="43" t="n">
        <v>68</v>
      </c>
      <c r="C7" s="44" t="n">
        <v>22</v>
      </c>
      <c r="D7" s="45">
        <f>B8*C8</f>
        <v/>
      </c>
      <c r="E7" s="45">
        <f>D8-$D$5</f>
        <v/>
      </c>
      <c r="F7" s="46">
        <f>E8/$D$8</f>
        <v/>
      </c>
    </row>
    <row r="8">
      <c r="A8" s="40" t="inlineStr">
        <is>
          <t>Tail Bear</t>
        </is>
      </c>
      <c r="B8" s="43" t="n">
        <v>45</v>
      </c>
      <c r="C8" s="44" t="n">
        <v>5</v>
      </c>
      <c r="D8" s="45">
        <f>B9*C9</f>
        <v/>
      </c>
      <c r="E8" s="45">
        <f>D9-$D$5</f>
        <v/>
      </c>
      <c r="F8" s="46">
        <f>E9/$D$9</f>
        <v/>
      </c>
    </row>
    <row r="9">
      <c r="A9" s="40" t="inlineStr"/>
      <c r="B9" s="38" t="inlineStr"/>
      <c r="C9" s="39" t="inlineStr"/>
      <c r="D9" s="38" t="inlineStr"/>
      <c r="E9" s="38" t="inlineStr"/>
      <c r="F9" s="39" t="inlineStr"/>
    </row>
    <row r="10">
      <c r="A10" s="40" t="inlineStr">
        <is>
          <t>Blended Fair Value</t>
        </is>
      </c>
      <c r="B10" s="45">
        <f>SUM(D5:D9)</f>
        <v/>
      </c>
      <c r="C10" s="39" t="inlineStr"/>
      <c r="D10" s="38" t="inlineStr"/>
      <c r="E10" s="38" t="inlineStr"/>
      <c r="F10" s="39" t="inlineStr"/>
    </row>
    <row r="11">
      <c r="A11" s="40" t="inlineStr">
        <is>
          <t>Current Price</t>
        </is>
      </c>
      <c r="B11" s="43" t="n">
        <v>94.95999999999999</v>
      </c>
      <c r="C11" s="39" t="inlineStr"/>
      <c r="D11" s="38" t="inlineStr"/>
      <c r="E11" s="38" t="inlineStr"/>
      <c r="F11" s="39" t="inlineStr"/>
    </row>
    <row r="12">
      <c r="A12" s="40" t="inlineStr">
        <is>
          <t>Implied Upside</t>
        </is>
      </c>
      <c r="B12" s="45">
        <f>B11-B12</f>
        <v/>
      </c>
      <c r="C12" s="39" t="inlineStr"/>
      <c r="D12" s="38" t="inlineStr"/>
      <c r="E12" s="38" t="inlineStr"/>
      <c r="F12" s="39" t="inlineStr"/>
    </row>
    <row r="13">
      <c r="A13" s="40" t="inlineStr">
        <is>
          <t>Implied Upside %</t>
        </is>
      </c>
      <c r="B13" s="45">
        <f>B13/B12</f>
        <v/>
      </c>
      <c r="C13" s="39" t="inlineStr"/>
      <c r="D13" s="38" t="inlineStr"/>
      <c r="E13" s="38" t="inlineStr"/>
      <c r="F13" s="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33FF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7" t="inlineStr">
        <is>
          <t>Company</t>
        </is>
      </c>
      <c r="B1" s="47" t="inlineStr">
        <is>
          <t>EV/Revenue</t>
        </is>
      </c>
      <c r="C1" s="47" t="inlineStr">
        <is>
          <t>EV/EBITDA</t>
        </is>
      </c>
      <c r="D1" s="47" t="inlineStr">
        <is>
          <t>P/E</t>
        </is>
      </c>
      <c r="E1" s="47" t="inlineStr">
        <is>
          <t>Rev Growth %</t>
        </is>
      </c>
      <c r="F1" s="47" t="inlineStr">
        <is>
          <t>EBITDA Margin %</t>
        </is>
      </c>
      <c r="G1" s="47" t="inlineStr">
        <is>
          <t>FCF Yield %</t>
        </is>
      </c>
      <c r="H1" s="47" t="inlineStr">
        <is>
          <t>Beta</t>
        </is>
      </c>
      <c r="I1" s="47" t="inlineStr">
        <is>
          <t>Price Target</t>
        </is>
      </c>
    </row>
    <row r="2">
      <c r="A2" s="40" t="inlineStr">
        <is>
          <t>Netflix</t>
        </is>
      </c>
      <c r="B2" s="48">
        <f>'Income Statement'!B4/'DCF Valuation'!B2</f>
        <v/>
      </c>
      <c r="C2" s="49" t="n">
        <v>3.5</v>
      </c>
      <c r="D2" s="49" t="n">
        <v>32.5</v>
      </c>
      <c r="E2" s="50" t="n">
        <v>14.5</v>
      </c>
      <c r="F2" s="50" t="n">
        <v>25</v>
      </c>
      <c r="G2" s="50" t="n">
        <v>18.5</v>
      </c>
      <c r="H2" s="49" t="n">
        <v>1.15</v>
      </c>
      <c r="I2" s="51" t="n">
        <v>109</v>
      </c>
    </row>
    <row r="3">
      <c r="A3" s="40" t="inlineStr">
        <is>
          <t>Disney</t>
        </is>
      </c>
      <c r="B3" s="49" t="n">
        <v>2.1</v>
      </c>
      <c r="C3" s="49" t="n">
        <v>4.2</v>
      </c>
      <c r="D3" s="49" t="n">
        <v>28</v>
      </c>
      <c r="E3" s="50" t="n">
        <v>8.5</v>
      </c>
      <c r="F3" s="50" t="n">
        <v>22</v>
      </c>
      <c r="G3" s="50" t="n">
        <v>12.5</v>
      </c>
      <c r="H3" s="49" t="n">
        <v>1.05</v>
      </c>
      <c r="I3" s="51" t="n">
        <v>95.5</v>
      </c>
    </row>
    <row r="4">
      <c r="A4" s="40" t="inlineStr">
        <is>
          <t>Warner Bros Discovery</t>
        </is>
      </c>
      <c r="B4" s="49" t="n">
        <v>1.8</v>
      </c>
      <c r="C4" s="49" t="n">
        <v>3.8</v>
      </c>
      <c r="D4" s="49" t="n">
        <v>15.5</v>
      </c>
      <c r="E4" s="50" t="n">
        <v>6</v>
      </c>
      <c r="F4" s="50" t="n">
        <v>18.5</v>
      </c>
      <c r="G4" s="50" t="n">
        <v>8</v>
      </c>
      <c r="H4" s="49" t="n">
        <v>1.2</v>
      </c>
      <c r="I4" s="51" t="n">
        <v>58</v>
      </c>
    </row>
    <row r="5">
      <c r="A5" s="40" t="inlineStr">
        <is>
          <t>Paramount Global</t>
        </is>
      </c>
      <c r="B5" s="49" t="n">
        <v>1.5</v>
      </c>
      <c r="C5" s="49" t="n">
        <v>4</v>
      </c>
      <c r="D5" s="49" t="n">
        <v>12</v>
      </c>
      <c r="E5" s="50" t="n">
        <v>5</v>
      </c>
      <c r="F5" s="50" t="n">
        <v>15</v>
      </c>
      <c r="G5" s="50" t="n">
        <v>5.5</v>
      </c>
      <c r="H5" s="49" t="n">
        <v>1.18</v>
      </c>
      <c r="I5" s="51" t="n">
        <v>52</v>
      </c>
    </row>
    <row r="6">
      <c r="A6" s="40" t="inlineStr">
        <is>
          <t>Amazon (Media)</t>
        </is>
      </c>
      <c r="B6" s="49" t="n">
        <v>0.6</v>
      </c>
      <c r="C6" s="49" t="n">
        <v>12.5</v>
      </c>
      <c r="D6" s="49" t="n">
        <v>45</v>
      </c>
      <c r="E6" s="50" t="n">
        <v>12</v>
      </c>
      <c r="F6" s="50" t="n">
        <v>8</v>
      </c>
      <c r="G6" s="50" t="n">
        <v>6.5</v>
      </c>
      <c r="H6" s="49" t="n">
        <v>1.25</v>
      </c>
      <c r="I6" s="51" t="n">
        <v>210</v>
      </c>
    </row>
    <row r="7">
      <c r="A7" s="40" t="inlineStr">
        <is>
          <t>Spotify</t>
        </is>
      </c>
      <c r="B7" s="49" t="n">
        <v>1.8</v>
      </c>
      <c r="C7" s="49" t="n">
        <v>8.5</v>
      </c>
      <c r="D7" s="49" t="n">
        <v>85</v>
      </c>
      <c r="E7" s="50" t="n">
        <v>16</v>
      </c>
      <c r="F7" s="50" t="n">
        <v>10</v>
      </c>
      <c r="G7" s="50" t="n">
        <v>4.5</v>
      </c>
      <c r="H7" s="49" t="n">
        <v>1.35</v>
      </c>
      <c r="I7" s="51" t="n">
        <v>185</v>
      </c>
    </row>
    <row r="8">
      <c r="A8" s="40" t="inlineStr">
        <is>
          <t>Alphabet (YouTube)</t>
        </is>
      </c>
      <c r="B8" s="49" t="n">
        <v>5.5</v>
      </c>
      <c r="C8" s="49" t="n">
        <v>22</v>
      </c>
      <c r="D8" s="49" t="n">
        <v>28.5</v>
      </c>
      <c r="E8" s="50" t="n">
        <v>13</v>
      </c>
      <c r="F8" s="50" t="n">
        <v>35</v>
      </c>
      <c r="G8" s="50" t="n">
        <v>15.5</v>
      </c>
      <c r="H8" s="49" t="n">
        <v>1.1</v>
      </c>
      <c r="I8" s="51" t="n">
        <v>185</v>
      </c>
    </row>
    <row r="9">
      <c r="A9" s="40" t="inlineStr">
        <is>
          <t>Apple (TV+)</t>
        </is>
      </c>
      <c r="B9" s="49" t="n">
        <v>28</v>
      </c>
      <c r="C9" s="49" t="n">
        <v>35</v>
      </c>
      <c r="D9" s="49" t="n">
        <v>32</v>
      </c>
      <c r="E9" s="50" t="n">
        <v>7</v>
      </c>
      <c r="F9" s="50" t="n">
        <v>32</v>
      </c>
      <c r="G9" s="50" t="n">
        <v>22</v>
      </c>
      <c r="H9" s="49" t="n">
        <v>1.15</v>
      </c>
      <c r="I9" s="51" t="n">
        <v>245</v>
      </c>
    </row>
    <row r="10">
      <c r="A10" s="40" t="inlineStr"/>
      <c r="B10" s="52" t="inlineStr"/>
      <c r="C10" s="52" t="inlineStr"/>
      <c r="D10" s="52" t="inlineStr"/>
      <c r="E10" s="53" t="inlineStr"/>
      <c r="F10" s="53" t="inlineStr"/>
      <c r="G10" s="53" t="inlineStr"/>
      <c r="H10" s="52" t="inlineStr"/>
      <c r="I10" s="54" t="inlineStr"/>
    </row>
    <row r="11">
      <c r="A11" s="40" t="inlineStr">
        <is>
          <t>NFLX Median</t>
        </is>
      </c>
      <c r="B11" s="48">
        <f>MEDIAN(B2:B8)</f>
        <v/>
      </c>
      <c r="C11" s="48">
        <f>MEDIAN(C2:C8)</f>
        <v/>
      </c>
      <c r="D11" s="48">
        <f>MEDIAN(D2:D8)</f>
        <v/>
      </c>
      <c r="E11" s="55">
        <f>MEDIAN(E2:E8)</f>
        <v/>
      </c>
      <c r="F11" s="55">
        <f>MEDIAN(F2:F8)</f>
        <v/>
      </c>
      <c r="G11" s="55">
        <f>MEDIAN(G2:G8)</f>
        <v/>
      </c>
      <c r="H11" s="48">
        <f>MEDIAN(H2:H8)</f>
        <v/>
      </c>
      <c r="I11" s="54" t="inlineStr"/>
    </row>
    <row r="12">
      <c r="A12" s="108" t="inlineStr"/>
      <c r="B12" s="108" t="inlineStr"/>
      <c r="C12" s="108" t="inlineStr"/>
      <c r="D12" s="108" t="inlineStr"/>
      <c r="E12" s="108" t="inlineStr"/>
      <c r="F12" s="108" t="inlineStr"/>
      <c r="G12" s="108" t="inlineStr"/>
      <c r="H12" s="108" t="inlineStr"/>
      <c r="I12" s="108" t="inlineStr"/>
    </row>
    <row r="13">
      <c r="A13" s="111" t="inlineStr">
        <is>
          <t>MULTIPLE HISTORY &amp; TRENDS</t>
        </is>
      </c>
      <c r="B13" s="108" t="inlineStr"/>
      <c r="C13" s="108" t="inlineStr"/>
      <c r="D13" s="108" t="inlineStr"/>
      <c r="E13" s="108" t="inlineStr"/>
      <c r="F13" s="108" t="inlineStr"/>
      <c r="G13" s="108" t="inlineStr"/>
      <c r="H13" s="108" t="inlineStr"/>
      <c r="I13" s="108" t="inlineStr"/>
    </row>
    <row r="14">
      <c r="A14" s="108" t="inlineStr">
        <is>
          <t>NFLX 1Y Avg EV/Revenue</t>
        </is>
      </c>
      <c r="B14" s="112" t="n">
        <v>3.2</v>
      </c>
      <c r="C14" s="112" t="n">
        <v>3.1</v>
      </c>
      <c r="D14" s="112" t="n">
        <v>3</v>
      </c>
      <c r="E14" s="112" t="n">
        <v>3.1</v>
      </c>
      <c r="F14" s="113">
        <f>AVERAGE(B18:E18)</f>
        <v/>
      </c>
      <c r="G14" s="108" t="inlineStr"/>
      <c r="H14" s="108" t="inlineStr"/>
      <c r="I14" s="108" t="inlineStr"/>
    </row>
    <row r="15">
      <c r="A15" s="108" t="inlineStr">
        <is>
          <t>NFLX 1Y Avg P/E</t>
        </is>
      </c>
      <c r="B15" s="112" t="n">
        <v>35</v>
      </c>
      <c r="C15" s="112" t="n">
        <v>34.5</v>
      </c>
      <c r="D15" s="112" t="n">
        <v>33</v>
      </c>
      <c r="E15" s="112" t="n">
        <v>32.5</v>
      </c>
      <c r="F15" s="114">
        <f>AVERAGE(B19:E19)</f>
        <v/>
      </c>
      <c r="G15" s="108" t="inlineStr"/>
      <c r="H15" s="108" t="inlineStr"/>
      <c r="I15" s="108" t="inlineStr"/>
    </row>
    <row r="16">
      <c r="A16" s="108" t="inlineStr">
        <is>
          <t>Peer Avg EV/Revenue</t>
        </is>
      </c>
      <c r="B16" s="113">
        <f>AVERAGE(C2:C8)</f>
        <v/>
      </c>
      <c r="C16" s="113">
        <f>AVERAGE(C2:C8)</f>
        <v/>
      </c>
      <c r="D16" s="113">
        <f>AVERAGE(C2:C8)</f>
        <v/>
      </c>
      <c r="E16" s="113">
        <f>AVERAGE(C2:C8)</f>
        <v/>
      </c>
      <c r="F16" s="108" t="inlineStr"/>
      <c r="G16" s="108" t="inlineStr"/>
      <c r="H16" s="108" t="inlineStr"/>
      <c r="I16" s="108" t="inlineStr"/>
    </row>
    <row r="17">
      <c r="A17" s="108" t="inlineStr">
        <is>
          <t>Premium/Discount %</t>
        </is>
      </c>
      <c r="B17" s="115">
        <f>IFERROR((B18/B20-1),0)</f>
        <v/>
      </c>
      <c r="C17" s="115">
        <f>IFERROR((C18/C20-1),0)</f>
        <v/>
      </c>
      <c r="D17" s="115">
        <f>IFERROR((D18/D20-1),0)</f>
        <v/>
      </c>
      <c r="E17" s="115">
        <f>IFERROR((E18/E20-1),0)</f>
        <v/>
      </c>
      <c r="F17" s="108" t="inlineStr"/>
      <c r="G17" s="108" t="inlineStr"/>
      <c r="H17" s="108" t="inlineStr"/>
      <c r="I17" s="10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33FF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7" t="inlineStr">
        <is>
          <t>Agent #</t>
        </is>
      </c>
      <c r="B1" s="47" t="inlineStr">
        <is>
          <t>Score (0-10)</t>
        </is>
      </c>
      <c r="C1" s="47" t="inlineStr">
        <is>
          <t>Confidence</t>
        </is>
      </c>
      <c r="D1" s="47" t="inlineStr">
        <is>
          <t>Assessment</t>
        </is>
      </c>
      <c r="E1" s="47" t="inlineStr">
        <is>
          <t>Signal</t>
        </is>
      </c>
      <c r="F1" s="47" t="inlineStr"/>
    </row>
    <row r="2">
      <c r="A2" s="40" t="n">
        <v>1</v>
      </c>
      <c r="B2" s="56" t="n">
        <v>7.5</v>
      </c>
      <c r="C2" s="57" t="n">
        <v>0.85</v>
      </c>
      <c r="D2" s="58" t="inlineStr">
        <is>
          <t>Financial Health</t>
        </is>
      </c>
      <c r="E2" s="58" t="inlineStr">
        <is>
          <t>BULLISH</t>
        </is>
      </c>
      <c r="F2" s="58" t="inlineStr"/>
    </row>
    <row r="3">
      <c r="A3" s="40" t="n">
        <v>2</v>
      </c>
      <c r="B3" s="56" t="n">
        <v>6.8</v>
      </c>
      <c r="C3" s="57" t="n">
        <v>0.8</v>
      </c>
      <c r="D3" s="58" t="inlineStr">
        <is>
          <t>Content Moat</t>
        </is>
      </c>
      <c r="E3" s="58" t="inlineStr">
        <is>
          <t>BULLISH</t>
        </is>
      </c>
      <c r="F3" s="58" t="inlineStr"/>
    </row>
    <row r="4">
      <c r="A4" s="40" t="n">
        <v>3</v>
      </c>
      <c r="B4" s="56" t="n">
        <v>7.2</v>
      </c>
      <c r="C4" s="57" t="n">
        <v>0.88</v>
      </c>
      <c r="D4" s="58" t="inlineStr">
        <is>
          <t>Ad Tier Growth</t>
        </is>
      </c>
      <c r="E4" s="58" t="inlineStr">
        <is>
          <t>BULLISH</t>
        </is>
      </c>
      <c r="F4" s="58" t="inlineStr"/>
    </row>
    <row r="5">
      <c r="A5" s="40" t="n">
        <v>4</v>
      </c>
      <c r="B5" s="56" t="n">
        <v>6.5</v>
      </c>
      <c r="C5" s="57" t="n">
        <v>0.75</v>
      </c>
      <c r="D5" s="58" t="inlineStr">
        <is>
          <t>Subscriber Momentum</t>
        </is>
      </c>
      <c r="E5" s="58" t="inlineStr">
        <is>
          <t>NEUTRAL</t>
        </is>
      </c>
      <c r="F5" s="58" t="inlineStr"/>
    </row>
    <row r="6">
      <c r="A6" s="40" t="n">
        <v>5</v>
      </c>
      <c r="B6" s="56" t="n">
        <v>7.1</v>
      </c>
      <c r="C6" s="57" t="n">
        <v>0.82</v>
      </c>
      <c r="D6" s="58" t="inlineStr">
        <is>
          <t>Pricing Power</t>
        </is>
      </c>
      <c r="E6" s="58" t="inlineStr">
        <is>
          <t>BULLISH</t>
        </is>
      </c>
      <c r="F6" s="58" t="inlineStr"/>
    </row>
    <row r="7">
      <c r="A7" s="40" t="n">
        <v>6</v>
      </c>
      <c r="B7" s="56" t="n">
        <v>6.3</v>
      </c>
      <c r="C7" s="57" t="n">
        <v>0.7</v>
      </c>
      <c r="D7" s="58" t="inlineStr">
        <is>
          <t>Churn Risk</t>
        </is>
      </c>
      <c r="E7" s="58" t="inlineStr">
        <is>
          <t>NEUTRAL</t>
        </is>
      </c>
      <c r="F7" s="58" t="inlineStr"/>
    </row>
    <row r="8">
      <c r="A8" s="40" t="n">
        <v>7</v>
      </c>
      <c r="B8" s="56" t="n">
        <v>7.6</v>
      </c>
      <c r="C8" s="57" t="n">
        <v>0.9</v>
      </c>
      <c r="D8" s="58" t="inlineStr">
        <is>
          <t>Balance Sheet</t>
        </is>
      </c>
      <c r="E8" s="58" t="inlineStr">
        <is>
          <t>BULLISH</t>
        </is>
      </c>
      <c r="F8" s="58" t="inlineStr"/>
    </row>
    <row r="9">
      <c r="A9" s="40" t="n">
        <v>8</v>
      </c>
      <c r="B9" s="56" t="n">
        <v>6.9</v>
      </c>
      <c r="C9" s="57" t="n">
        <v>0.78</v>
      </c>
      <c r="D9" s="58" t="inlineStr">
        <is>
          <t>Management</t>
        </is>
      </c>
      <c r="E9" s="58" t="inlineStr">
        <is>
          <t>NEUTRAL</t>
        </is>
      </c>
      <c r="F9" s="58" t="inlineStr"/>
    </row>
    <row r="10">
      <c r="A10" s="40" t="n">
        <v>9</v>
      </c>
      <c r="B10" s="56" t="n">
        <v>5.8</v>
      </c>
      <c r="C10" s="57" t="n">
        <v>0.65</v>
      </c>
      <c r="D10" s="58" t="inlineStr">
        <is>
          <t>Content Spending</t>
        </is>
      </c>
      <c r="E10" s="58" t="inlineStr">
        <is>
          <t>BEARISH</t>
        </is>
      </c>
      <c r="F10" s="58" t="inlineStr"/>
    </row>
    <row r="11">
      <c r="A11" s="40" t="n">
        <v>10</v>
      </c>
      <c r="B11" s="56" t="n">
        <v>6.4</v>
      </c>
      <c r="C11" s="57" t="n">
        <v>0.72</v>
      </c>
      <c r="D11" s="58" t="inlineStr">
        <is>
          <t>Macro Sensitivity</t>
        </is>
      </c>
      <c r="E11" s="58" t="inlineStr">
        <is>
          <t>NEUTRAL</t>
        </is>
      </c>
      <c r="F11" s="58" t="inlineStr"/>
    </row>
    <row r="12">
      <c r="A12" s="40" t="n">
        <v>11</v>
      </c>
      <c r="B12" s="56" t="n">
        <v>7</v>
      </c>
      <c r="C12" s="57" t="n">
        <v>0.8</v>
      </c>
      <c r="D12" s="58" t="inlineStr">
        <is>
          <t>Competitive Pos</t>
        </is>
      </c>
      <c r="E12" s="58" t="inlineStr">
        <is>
          <t>BULLISH</t>
        </is>
      </c>
      <c r="F12" s="58" t="inlineStr"/>
    </row>
    <row r="13">
      <c r="A13" s="40" t="n">
        <v>12</v>
      </c>
      <c r="B13" s="56" t="n">
        <v>6.7</v>
      </c>
      <c r="C13" s="57" t="n">
        <v>0.75</v>
      </c>
      <c r="D13" s="58" t="inlineStr">
        <is>
          <t>FCF Generation</t>
        </is>
      </c>
      <c r="E13" s="58" t="inlineStr">
        <is>
          <t>BULLISH</t>
        </is>
      </c>
      <c r="F13" s="58" t="inlineStr"/>
    </row>
    <row r="14">
      <c r="A14" s="40" t="n">
        <v>13</v>
      </c>
      <c r="B14" s="56" t="n">
        <v>5.9</v>
      </c>
      <c r="C14" s="57" t="n">
        <v>0.68</v>
      </c>
      <c r="D14" s="58" t="inlineStr">
        <is>
          <t>Subscriber CAC</t>
        </is>
      </c>
      <c r="E14" s="58" t="inlineStr">
        <is>
          <t>NEUTRAL</t>
        </is>
      </c>
      <c r="F14" s="58" t="inlineStr"/>
    </row>
    <row r="15">
      <c r="A15" s="40" t="n">
        <v>14</v>
      </c>
      <c r="B15" s="56" t="n">
        <v>7.3</v>
      </c>
      <c r="C15" s="57" t="n">
        <v>0.85</v>
      </c>
      <c r="D15" s="58" t="inlineStr">
        <is>
          <t>ARPU Trajectory</t>
        </is>
      </c>
      <c r="E15" s="58" t="inlineStr">
        <is>
          <t>BULLISH</t>
        </is>
      </c>
      <c r="F15" s="58" t="inlineStr"/>
    </row>
    <row r="16">
      <c r="A16" s="40" t="n">
        <v>15</v>
      </c>
      <c r="B16" s="56" t="n">
        <v>6.6</v>
      </c>
      <c r="C16" s="57" t="n">
        <v>0.77</v>
      </c>
      <c r="D16" s="58" t="inlineStr">
        <is>
          <t>International</t>
        </is>
      </c>
      <c r="E16" s="58" t="inlineStr">
        <is>
          <t>BULLISH</t>
        </is>
      </c>
      <c r="F16" s="58" t="inlineStr"/>
    </row>
    <row r="17">
      <c r="A17" s="40" t="n">
        <v>16</v>
      </c>
      <c r="B17" s="56" t="n">
        <v>5.5</v>
      </c>
      <c r="C17" s="57" t="n">
        <v>0.6</v>
      </c>
      <c r="D17" s="58" t="inlineStr">
        <is>
          <t>Emerging Risk</t>
        </is>
      </c>
      <c r="E17" s="58" t="inlineStr">
        <is>
          <t>BEARISH</t>
        </is>
      </c>
      <c r="F17" s="58" t="inlineStr"/>
    </row>
    <row r="18">
      <c r="A18" s="40" t="n">
        <v>17</v>
      </c>
      <c r="B18" s="56" t="n">
        <v>7.1</v>
      </c>
      <c r="C18" s="57" t="n">
        <v>0.83</v>
      </c>
      <c r="D18" s="58" t="inlineStr">
        <is>
          <t>Valuation</t>
        </is>
      </c>
      <c r="E18" s="58" t="inlineStr">
        <is>
          <t>BULLISH</t>
        </is>
      </c>
      <c r="F18" s="58" t="inlineStr"/>
    </row>
    <row r="19">
      <c r="A19" s="40" t="n">
        <v>18</v>
      </c>
      <c r="B19" s="56" t="n">
        <v>6.8</v>
      </c>
      <c r="C19" s="57" t="n">
        <v>0.79</v>
      </c>
      <c r="D19" s="58" t="inlineStr">
        <is>
          <t>Tech Moat</t>
        </is>
      </c>
      <c r="E19" s="58" t="inlineStr">
        <is>
          <t>BULLISH</t>
        </is>
      </c>
      <c r="F19" s="58" t="inlineStr"/>
    </row>
    <row r="20">
      <c r="A20" s="40" t="n">
        <v>19</v>
      </c>
      <c r="B20" s="56" t="n">
        <v>6.2</v>
      </c>
      <c r="C20" s="57" t="n">
        <v>0.72</v>
      </c>
      <c r="D20" s="58" t="inlineStr">
        <is>
          <t>Optionality</t>
        </is>
      </c>
      <c r="E20" s="58" t="inlineStr">
        <is>
          <t>NEUTRAL</t>
        </is>
      </c>
      <c r="F20" s="58" t="inlineStr"/>
    </row>
    <row r="21">
      <c r="A21" s="40" t="inlineStr"/>
      <c r="B21" s="40" t="inlineStr"/>
      <c r="C21" s="40" t="inlineStr"/>
      <c r="D21" s="40" t="inlineStr"/>
      <c r="E21" s="40" t="inlineStr"/>
      <c r="F21" s="40" t="inlineStr"/>
    </row>
    <row r="22">
      <c r="A22" s="59" t="inlineStr">
        <is>
          <t>AGGREGATE METRICS</t>
        </is>
      </c>
      <c r="B22" s="40" t="inlineStr"/>
      <c r="C22" s="40" t="inlineStr"/>
      <c r="D22" s="40" t="inlineStr"/>
      <c r="E22" s="40" t="inlineStr"/>
      <c r="F22" s="40" t="inlineStr"/>
    </row>
    <row r="23">
      <c r="A23" s="40" t="inlineStr">
        <is>
          <t>Average Score</t>
        </is>
      </c>
      <c r="B23" s="116">
        <f>AVERAGE(B2:B19)</f>
        <v/>
      </c>
      <c r="C23" s="40" t="inlineStr"/>
      <c r="D23" s="40" t="inlineStr"/>
      <c r="E23" s="40" t="inlineStr"/>
      <c r="F23" s="40" t="inlineStr"/>
    </row>
    <row r="24">
      <c r="A24" s="40" t="inlineStr">
        <is>
          <t>Average Confidence</t>
        </is>
      </c>
      <c r="B24" s="116">
        <f>AVERAGE(C2:C19)</f>
        <v/>
      </c>
      <c r="C24" s="40" t="inlineStr"/>
      <c r="D24" s="40" t="inlineStr"/>
      <c r="E24" s="40" t="inlineStr"/>
      <c r="F24" s="40" t="inlineStr"/>
    </row>
    <row r="25">
      <c r="A25" s="40" t="inlineStr">
        <is>
          <t>Bull Signal Count</t>
        </is>
      </c>
      <c r="B25" s="117">
        <f>COUNTIF(E2:E19,"BULLISH")</f>
        <v/>
      </c>
      <c r="C25" s="40" t="inlineStr"/>
      <c r="D25" s="40" t="inlineStr"/>
      <c r="E25" s="40" t="inlineStr"/>
      <c r="F25" s="40" t="inlineStr"/>
    </row>
    <row r="26">
      <c r="A26" s="40" t="inlineStr">
        <is>
          <t>Neutral Signal Count</t>
        </is>
      </c>
      <c r="B26" s="117">
        <f>COUNTIF(E2:E19,"NEUTRAL")</f>
        <v/>
      </c>
      <c r="C26" s="40" t="inlineStr"/>
      <c r="D26" s="40" t="inlineStr"/>
      <c r="E26" s="40" t="inlineStr"/>
      <c r="F26" s="40" t="inlineStr"/>
    </row>
    <row r="27">
      <c r="A27" s="40" t="inlineStr">
        <is>
          <t>Bear Signal Count</t>
        </is>
      </c>
      <c r="B27" s="117">
        <f>COUNTIF(E2:E19,"BEARISH")</f>
        <v/>
      </c>
      <c r="C27" s="40" t="inlineStr"/>
      <c r="D27" s="40" t="inlineStr"/>
      <c r="E27" s="40" t="inlineStr"/>
      <c r="F27" s="4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933FF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7" t="inlineStr">
        <is>
          <t>Date (Est.)</t>
        </is>
      </c>
      <c r="B1" s="47" t="inlineStr">
        <is>
          <t>Catalyst</t>
        </is>
      </c>
      <c r="C1" s="47" t="inlineStr">
        <is>
          <t>Type</t>
        </is>
      </c>
      <c r="D1" s="47" t="inlineStr">
        <is>
          <t>Probability %</t>
        </is>
      </c>
      <c r="E1" s="47" t="inlineStr">
        <is>
          <t>Price Impact %</t>
        </is>
      </c>
      <c r="F1" s="47" t="inlineStr"/>
    </row>
    <row r="2">
      <c r="A2" s="40" t="inlineStr">
        <is>
          <t>Q2 2026</t>
        </is>
      </c>
      <c r="B2" s="40" t="inlineStr">
        <is>
          <t>Ad tier $3B run rate</t>
        </is>
      </c>
      <c r="C2" s="58" t="inlineStr">
        <is>
          <t>REVENUE</t>
        </is>
      </c>
      <c r="D2" s="50" t="n">
        <v>0.65</v>
      </c>
      <c r="E2" s="50" t="n">
        <v>7.5</v>
      </c>
      <c r="F2" s="40" t="inlineStr"/>
    </row>
    <row r="3">
      <c r="A3" s="40" t="inlineStr">
        <is>
          <t>Q3 2026</t>
        </is>
      </c>
      <c r="B3" s="40" t="inlineStr">
        <is>
          <t>NFL rights expansion</t>
        </is>
      </c>
      <c r="C3" s="58" t="inlineStr">
        <is>
          <t>STRATEGIC</t>
        </is>
      </c>
      <c r="D3" s="50" t="n">
        <v>0.45</v>
      </c>
      <c r="E3" s="50" t="n">
        <v>11.5</v>
      </c>
      <c r="F3" s="40" t="inlineStr"/>
    </row>
    <row r="4">
      <c r="A4" s="40" t="inlineStr">
        <is>
          <t>Q3 2026</t>
        </is>
      </c>
      <c r="B4" s="40" t="inlineStr">
        <is>
          <t>France tax investigation</t>
        </is>
      </c>
      <c r="C4" s="58" t="inlineStr">
        <is>
          <t>RISK</t>
        </is>
      </c>
      <c r="D4" s="50" t="n">
        <v>0.5</v>
      </c>
      <c r="E4" s="50" t="n">
        <v>-5.5</v>
      </c>
      <c r="F4" s="40" t="inlineStr"/>
    </row>
    <row r="5">
      <c r="A5" s="40" t="inlineStr">
        <is>
          <t>Q4 2026</t>
        </is>
      </c>
      <c r="B5" s="40" t="inlineStr">
        <is>
          <t>Squid Game S3 launch</t>
        </is>
      </c>
      <c r="C5" s="58" t="inlineStr">
        <is>
          <t>CONTENT</t>
        </is>
      </c>
      <c r="D5" s="50" t="n">
        <v>0.75</v>
      </c>
      <c r="E5" s="50" t="n">
        <v>4</v>
      </c>
      <c r="F5" s="40" t="inlineStr"/>
    </row>
    <row r="6">
      <c r="A6" s="40" t="inlineStr">
        <is>
          <t>Q4 2026</t>
        </is>
      </c>
      <c r="B6" s="40" t="inlineStr">
        <is>
          <t>Gaming monetization plan</t>
        </is>
      </c>
      <c r="C6" s="58" t="inlineStr">
        <is>
          <t>PRODUCT</t>
        </is>
      </c>
      <c r="D6" s="50" t="n">
        <v>0.4</v>
      </c>
      <c r="E6" s="50" t="n">
        <v>6</v>
      </c>
      <c r="F6" s="40" t="inlineStr"/>
    </row>
    <row r="7">
      <c r="A7" s="40" t="inlineStr">
        <is>
          <t>Q1 2027</t>
        </is>
      </c>
      <c r="B7" s="40" t="inlineStr">
        <is>
          <t>Price increase rollout</t>
        </is>
      </c>
      <c r="C7" s="58" t="inlineStr">
        <is>
          <t>PRICING</t>
        </is>
      </c>
      <c r="D7" s="50" t="n">
        <v>0.7</v>
      </c>
      <c r="E7" s="50" t="n">
        <v>3</v>
      </c>
      <c r="F7" s="40" t="inlineStr"/>
    </row>
    <row r="8">
      <c r="A8" s="40" t="inlineStr">
        <is>
          <t>Q1 2027</t>
        </is>
      </c>
      <c r="B8" s="40" t="inlineStr">
        <is>
          <t>Ad platform self-serve</t>
        </is>
      </c>
      <c r="C8" s="58" t="inlineStr">
        <is>
          <t>PRODUCT</t>
        </is>
      </c>
      <c r="D8" s="50" t="n">
        <v>0.55</v>
      </c>
      <c r="E8" s="50" t="n">
        <v>4.5</v>
      </c>
      <c r="F8" s="40" t="inlineStr"/>
    </row>
    <row r="9">
      <c r="A9" s="40" t="inlineStr">
        <is>
          <t>H1 2027</t>
        </is>
      </c>
      <c r="B9" s="40" t="inlineStr">
        <is>
          <t>India 50M subs</t>
        </is>
      </c>
      <c r="C9" s="58" t="inlineStr">
        <is>
          <t>EXPANSION</t>
        </is>
      </c>
      <c r="D9" s="50" t="n">
        <v>0.45</v>
      </c>
      <c r="E9" s="50" t="n">
        <v>3</v>
      </c>
      <c r="F9" s="40" t="inlineStr"/>
    </row>
    <row r="10">
      <c r="A10" s="40" t="inlineStr">
        <is>
          <t>H2 2027</t>
        </is>
      </c>
      <c r="B10" s="40" t="inlineStr">
        <is>
          <t>CDN-as-a-service pilot</t>
        </is>
      </c>
      <c r="C10" s="58" t="inlineStr">
        <is>
          <t>STRATEGIC</t>
        </is>
      </c>
      <c r="D10" s="50" t="n">
        <v>0.2</v>
      </c>
      <c r="E10" s="50" t="n">
        <v>5.5</v>
      </c>
      <c r="F10" s="40" t="inlineStr"/>
    </row>
    <row r="11">
      <c r="A11" s="40" t="inlineStr">
        <is>
          <t>RISK</t>
        </is>
      </c>
      <c r="B11" s="40" t="inlineStr">
        <is>
          <t>Content miss/slate fail</t>
        </is>
      </c>
      <c r="C11" s="58" t="inlineStr">
        <is>
          <t>RISK</t>
        </is>
      </c>
      <c r="D11" s="50" t="n">
        <v>0.2</v>
      </c>
      <c r="E11" s="50" t="n">
        <v>-8.5</v>
      </c>
      <c r="F11" s="40" t="inlineStr"/>
    </row>
    <row r="12">
      <c r="A12" s="40" t="inlineStr">
        <is>
          <t>RISK</t>
        </is>
      </c>
      <c r="B12" s="40" t="inlineStr">
        <is>
          <t>Ad CPM collapse</t>
        </is>
      </c>
      <c r="C12" s="58" t="inlineStr">
        <is>
          <t>RISK</t>
        </is>
      </c>
      <c r="D12" s="50" t="n">
        <v>0.25</v>
      </c>
      <c r="E12" s="50" t="n">
        <v>-11.5</v>
      </c>
      <c r="F12" s="40" t="inlineStr"/>
    </row>
    <row r="13">
      <c r="A13" s="40" t="inlineStr">
        <is>
          <t>RISK</t>
        </is>
      </c>
      <c r="B13" s="40" t="inlineStr">
        <is>
          <t>Tariff escalation</t>
        </is>
      </c>
      <c r="C13" s="58" t="inlineStr">
        <is>
          <t>MACRO</t>
        </is>
      </c>
      <c r="D13" s="50" t="n">
        <v>0.3</v>
      </c>
      <c r="E13" s="50" t="n">
        <v>-7.5</v>
      </c>
      <c r="F13" s="4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933FF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9" t="inlineStr">
        <is>
          <t>POSITION SIZING FRAMEWORK</t>
        </is>
      </c>
      <c r="B1" s="60" t="inlineStr"/>
      <c r="C1" s="60" t="inlineStr"/>
      <c r="D1" s="60" t="inlineStr"/>
    </row>
    <row r="2">
      <c r="A2" s="40" t="inlineStr"/>
      <c r="B2" s="60" t="inlineStr"/>
      <c r="C2" s="60" t="inlineStr"/>
      <c r="D2" s="60" t="inlineStr"/>
    </row>
    <row r="3">
      <c r="A3" s="40" t="inlineStr">
        <is>
          <t>Fair Value (DCF)</t>
        </is>
      </c>
      <c r="B3" s="61">
        <f>DCF Valuation!B32</f>
        <v/>
      </c>
      <c r="C3" s="60" t="inlineStr"/>
      <c r="D3" s="60" t="inlineStr"/>
    </row>
    <row r="4">
      <c r="A4" s="40" t="inlineStr">
        <is>
          <t>Current Price</t>
        </is>
      </c>
      <c r="B4" s="51" t="n">
        <v>94.95999999999999</v>
      </c>
      <c r="C4" s="60" t="inlineStr"/>
      <c r="D4" s="60" t="inlineStr"/>
    </row>
    <row r="5">
      <c r="A5" s="40" t="inlineStr">
        <is>
          <t>Margin of Safety</t>
        </is>
      </c>
      <c r="B5" s="61">
        <f>B3/B4-1</f>
        <v/>
      </c>
      <c r="C5" s="60" t="inlineStr"/>
      <c r="D5" s="60" t="inlineStr"/>
    </row>
    <row r="6">
      <c r="A6" s="40" t="inlineStr"/>
      <c r="B6" s="60" t="inlineStr"/>
      <c r="C6" s="60" t="inlineStr"/>
      <c r="D6" s="60" t="inlineStr"/>
    </row>
    <row r="7">
      <c r="A7" s="59" t="inlineStr">
        <is>
          <t>KELLY CRITERION</t>
        </is>
      </c>
      <c r="B7" s="60" t="inlineStr">
        <is>
          <t>Optimal Position %</t>
        </is>
      </c>
      <c r="C7" s="60" t="inlineStr">
        <is>
          <t>Conservative %</t>
        </is>
      </c>
      <c r="D7" s="60" t="inlineStr"/>
    </row>
    <row r="8">
      <c r="A8" s="40" t="inlineStr">
        <is>
          <t>Edge per trade</t>
        </is>
      </c>
      <c r="B8" s="50" t="n">
        <v>0.15</v>
      </c>
      <c r="C8" s="60" t="inlineStr"/>
      <c r="D8" s="60" t="inlineStr"/>
    </row>
    <row r="9">
      <c r="A9" s="40" t="inlineStr">
        <is>
          <t>Win Probability</t>
        </is>
      </c>
      <c r="B9" s="50" t="n">
        <v>0.65</v>
      </c>
      <c r="C9" s="60" t="inlineStr"/>
      <c r="D9" s="60" t="inlineStr"/>
    </row>
    <row r="10">
      <c r="A10" s="40" t="inlineStr">
        <is>
          <t>Risk/Reward Ratio</t>
        </is>
      </c>
      <c r="B10" s="51" t="n">
        <v>1.5</v>
      </c>
      <c r="C10" s="60" t="inlineStr"/>
      <c r="D10" s="60" t="inlineStr"/>
    </row>
    <row r="11">
      <c r="A11" s="62" t="inlineStr">
        <is>
          <t>Kelly % = (Prob*RR - (1-Prob))/RR</t>
        </is>
      </c>
      <c r="B11" s="61">
        <f>IFERROR((B9*B11-(1-B9))/B11,0)</f>
        <v/>
      </c>
      <c r="C11" s="60" t="inlineStr"/>
      <c r="D11" s="60" t="inlineStr"/>
    </row>
    <row r="12">
      <c r="A12" s="40" t="inlineStr">
        <is>
          <t>Recommended Position Size</t>
        </is>
      </c>
      <c r="B12" s="61">
        <f>B12*0.25</f>
        <v/>
      </c>
      <c r="C12" s="61">
        <f>B12*0.10</f>
        <v/>
      </c>
      <c r="D12" s="60" t="inlineStr"/>
    </row>
    <row r="13">
      <c r="A13" s="40" t="inlineStr"/>
      <c r="B13" s="60" t="inlineStr"/>
      <c r="C13" s="60" t="inlineStr"/>
      <c r="D13" s="60" t="inlineStr"/>
    </row>
    <row r="14">
      <c r="A14" s="59" t="inlineStr">
        <is>
          <t>INVESTOR PROFILES</t>
        </is>
      </c>
      <c r="B14" s="60" t="inlineStr"/>
      <c r="C14" s="60" t="inlineStr"/>
      <c r="D14" s="60" t="inlineStr"/>
    </row>
    <row r="15">
      <c r="A15" s="59" t="inlineStr">
        <is>
          <t>Profile</t>
        </is>
      </c>
      <c r="B15" s="63" t="inlineStr">
        <is>
          <t>Entry Level</t>
        </is>
      </c>
      <c r="C15" s="63" t="inlineStr">
        <is>
          <t>Exit Level (Bull)</t>
        </is>
      </c>
      <c r="D15" s="63" t="inlineStr">
        <is>
          <t>Exit Level (Bear)</t>
        </is>
      </c>
    </row>
    <row r="16">
      <c r="A16" s="40" t="inlineStr">
        <is>
          <t>Aggressive</t>
        </is>
      </c>
      <c r="B16" s="51" t="n">
        <v>94.95999999999999</v>
      </c>
      <c r="C16" s="51" t="n">
        <v>138</v>
      </c>
      <c r="D16" s="51" t="n">
        <v>68</v>
      </c>
    </row>
    <row r="17">
      <c r="A17" s="40" t="inlineStr">
        <is>
          <t>Moderate</t>
        </is>
      </c>
      <c r="B17" s="51" t="n">
        <v>94.95999999999999</v>
      </c>
      <c r="C17" s="51" t="n">
        <v>120</v>
      </c>
      <c r="D17" s="51" t="n">
        <v>75</v>
      </c>
    </row>
    <row r="18">
      <c r="A18" s="40" t="inlineStr">
        <is>
          <t>Conservative</t>
        </is>
      </c>
      <c r="B18" s="51" t="n">
        <v>94.95999999999999</v>
      </c>
      <c r="C18" s="51" t="n">
        <v>110</v>
      </c>
      <c r="D18" s="51" t="n">
        <v>80</v>
      </c>
    </row>
    <row r="19">
      <c r="A19" s="40" t="inlineStr">
        <is>
          <t>Very Conservative</t>
        </is>
      </c>
      <c r="B19" s="51" t="n">
        <v>94.95999999999999</v>
      </c>
      <c r="C19" s="51" t="n">
        <v>100</v>
      </c>
      <c r="D19" s="51" t="n">
        <v>85</v>
      </c>
    </row>
    <row r="20">
      <c r="A20" s="40" t="inlineStr"/>
      <c r="B20" s="60" t="inlineStr"/>
      <c r="C20" s="60" t="inlineStr"/>
      <c r="D20" s="60" t="inlineStr"/>
    </row>
    <row r="21">
      <c r="A21" s="40" t="inlineStr">
        <is>
          <t>Position Risk/Reward</t>
        </is>
      </c>
      <c r="B21" s="60" t="inlineStr"/>
      <c r="C21" s="60" t="inlineStr"/>
      <c r="D21" s="60" t="inlineStr"/>
    </row>
    <row r="22">
      <c r="A22" s="40" t="inlineStr">
        <is>
          <t>Avg Entry</t>
        </is>
      </c>
      <c r="B22" s="61">
        <f>AVERAGE(B16:B19)</f>
        <v/>
      </c>
      <c r="C22" s="60" t="inlineStr"/>
      <c r="D22" s="60" t="inlineStr"/>
    </row>
    <row r="23">
      <c r="A23" s="40" t="inlineStr">
        <is>
          <t>Avg Bull Target</t>
        </is>
      </c>
      <c r="B23" s="61">
        <f>AVERAGE(C16:C19)</f>
        <v/>
      </c>
      <c r="C23" s="60" t="inlineStr"/>
      <c r="D23" s="60" t="inlineStr"/>
    </row>
    <row r="24">
      <c r="A24" s="40" t="inlineStr">
        <is>
          <t>Avg Bear Target</t>
        </is>
      </c>
      <c r="B24" s="61">
        <f>AVERAGE(D16:D19)</f>
        <v/>
      </c>
      <c r="C24" s="60" t="inlineStr"/>
      <c r="D24" s="60" t="inlineStr"/>
    </row>
    <row r="25">
      <c r="A25" s="40" t="inlineStr">
        <is>
          <t>Avg R/R Ratio</t>
        </is>
      </c>
      <c r="B25" s="61">
        <f>IFERROR((B23-B22)/(B22-B24),0)</f>
        <v/>
      </c>
      <c r="C25" s="60" t="inlineStr"/>
      <c r="D25" s="6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933FF"/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4" t="inlineStr">
        <is>
          <t>Signal Category</t>
        </is>
      </c>
      <c r="B1" s="64" t="inlineStr">
        <is>
          <t>Metric</t>
        </is>
      </c>
      <c r="C1" s="64" t="inlineStr">
        <is>
          <t>Current Value</t>
        </is>
      </c>
      <c r="D1" s="64" t="inlineStr">
        <is>
          <t>YoY Change</t>
        </is>
      </c>
      <c r="E1" s="64" t="inlineStr">
        <is>
          <t>Direction</t>
        </is>
      </c>
      <c r="F1" s="64" t="inlineStr">
        <is>
          <t>Confidence</t>
        </is>
      </c>
      <c r="G1" s="64" t="inlineStr">
        <is>
          <t>Bloomberg Has?</t>
        </is>
      </c>
      <c r="H1" s="64" t="inlineStr">
        <is>
          <t>Edge vs Street</t>
        </is>
      </c>
      <c r="I1" s="64" t="inlineStr">
        <is>
          <t>Source</t>
        </is>
      </c>
    </row>
    <row r="2">
      <c r="A2" s="65" t="inlineStr">
        <is>
          <t>App Analytics</t>
        </is>
      </c>
      <c r="B2" s="65" t="inlineStr">
        <is>
          <t>Netflix App DAU (M)</t>
        </is>
      </c>
      <c r="C2" s="66" t="n">
        <v>8.5</v>
      </c>
      <c r="D2" s="67" t="inlineStr">
        <is>
          <t>+12%</t>
        </is>
      </c>
      <c r="E2" s="68" t="inlineStr">
        <is>
          <t>BULLISH</t>
        </is>
      </c>
      <c r="F2" s="68" t="inlineStr">
        <is>
          <t>HIGH</t>
        </is>
      </c>
      <c r="G2" s="68" t="inlineStr">
        <is>
          <t>NO</t>
        </is>
      </c>
      <c r="H2" s="68" t="inlineStr">
        <is>
          <t>YES</t>
        </is>
      </c>
      <c r="I2" s="65" t="inlineStr">
        <is>
          <t>SensorTower</t>
        </is>
      </c>
    </row>
    <row r="3">
      <c r="A3" s="65" t="inlineStr">
        <is>
          <t>App Analytics</t>
        </is>
      </c>
      <c r="B3" s="66" t="inlineStr">
        <is>
          <t>Ad-tier opt-in %</t>
        </is>
      </c>
      <c r="C3" s="66" t="inlineStr">
        <is>
          <t>42%</t>
        </is>
      </c>
      <c r="D3" s="67" t="inlineStr">
        <is>
          <t>+18pp</t>
        </is>
      </c>
      <c r="E3" s="68" t="inlineStr">
        <is>
          <t>BULLISH</t>
        </is>
      </c>
      <c r="F3" s="68" t="inlineStr">
        <is>
          <t>MEDIUM</t>
        </is>
      </c>
      <c r="G3" s="68" t="inlineStr">
        <is>
          <t>NO</t>
        </is>
      </c>
      <c r="H3" s="68" t="inlineStr">
        <is>
          <t>YES</t>
        </is>
      </c>
      <c r="I3" s="65" t="inlineStr">
        <is>
          <t>Internal</t>
        </is>
      </c>
    </row>
    <row r="4">
      <c r="A4" s="65" t="inlineStr">
        <is>
          <t>App Analytics</t>
        </is>
      </c>
      <c r="B4" s="65" t="inlineStr">
        <is>
          <t>Games DAU (M)</t>
        </is>
      </c>
      <c r="C4" s="66" t="n">
        <v>1.2</v>
      </c>
      <c r="D4" s="67" t="inlineStr">
        <is>
          <t>+35%</t>
        </is>
      </c>
      <c r="E4" s="68" t="inlineStr">
        <is>
          <t>NEUTRAL</t>
        </is>
      </c>
      <c r="F4" s="68" t="inlineStr">
        <is>
          <t>LOW</t>
        </is>
      </c>
      <c r="G4" s="68" t="inlineStr">
        <is>
          <t>NO</t>
        </is>
      </c>
      <c r="H4" s="68" t="inlineStr">
        <is>
          <t>YES</t>
        </is>
      </c>
      <c r="I4" s="65" t="inlineStr">
        <is>
          <t>Internal</t>
        </is>
      </c>
    </row>
    <row r="5">
      <c r="A5" s="65" t="inlineStr">
        <is>
          <t>Content Performance</t>
        </is>
      </c>
      <c r="B5" s="65" t="inlineStr">
        <is>
          <t>Squid Game S2 views (28d)</t>
        </is>
      </c>
      <c r="C5" s="65" t="inlineStr">
        <is>
          <t>126.2M</t>
        </is>
      </c>
      <c r="D5" s="67" t="inlineStr">
        <is>
          <t>+45%</t>
        </is>
      </c>
      <c r="E5" s="68" t="inlineStr">
        <is>
          <t>BULLISH</t>
        </is>
      </c>
      <c r="F5" s="68" t="inlineStr">
        <is>
          <t>HIGH</t>
        </is>
      </c>
      <c r="G5" s="68" t="inlineStr">
        <is>
          <t>NO</t>
        </is>
      </c>
      <c r="H5" s="68" t="inlineStr">
        <is>
          <t>YES</t>
        </is>
      </c>
      <c r="I5" s="65" t="inlineStr">
        <is>
          <t>Netflix</t>
        </is>
      </c>
    </row>
    <row r="6">
      <c r="A6" s="65" t="inlineStr">
        <is>
          <t>Content Performance</t>
        </is>
      </c>
      <c r="B6" s="65" t="inlineStr">
        <is>
          <t>Hit rate (&gt;50M views)</t>
        </is>
      </c>
      <c r="C6" s="65" t="inlineStr">
        <is>
          <t>8/20</t>
        </is>
      </c>
      <c r="D6" s="68" t="inlineStr">
        <is>
          <t>-2 YoY</t>
        </is>
      </c>
      <c r="E6" s="68" t="inlineStr">
        <is>
          <t>BEARISH</t>
        </is>
      </c>
      <c r="F6" s="68" t="inlineStr">
        <is>
          <t>MEDIUM</t>
        </is>
      </c>
      <c r="G6" s="68" t="inlineStr">
        <is>
          <t>NO</t>
        </is>
      </c>
      <c r="H6" s="68" t="inlineStr">
        <is>
          <t>YES</t>
        </is>
      </c>
      <c r="I6" s="65" t="inlineStr">
        <is>
          <t>Internal</t>
        </is>
      </c>
    </row>
    <row r="7">
      <c r="A7" s="65" t="inlineStr">
        <is>
          <t>Content Performance</t>
        </is>
      </c>
      <c r="B7" s="66" t="inlineStr">
        <is>
          <t>Original vs Licensed %</t>
        </is>
      </c>
      <c r="C7" s="65" t="inlineStr">
        <is>
          <t>65/35</t>
        </is>
      </c>
      <c r="D7" s="67" t="inlineStr">
        <is>
          <t>+5pp orig</t>
        </is>
      </c>
      <c r="E7" s="68" t="inlineStr">
        <is>
          <t>BULLISH</t>
        </is>
      </c>
      <c r="F7" s="68" t="inlineStr">
        <is>
          <t>MEDIUM</t>
        </is>
      </c>
      <c r="G7" s="68" t="inlineStr">
        <is>
          <t>NO</t>
        </is>
      </c>
      <c r="H7" s="68" t="inlineStr">
        <is>
          <t>YES</t>
        </is>
      </c>
      <c r="I7" s="65" t="inlineStr">
        <is>
          <t>Internal</t>
        </is>
      </c>
    </row>
    <row r="8">
      <c r="A8" s="65" t="inlineStr">
        <is>
          <t>Web Traffic</t>
        </is>
      </c>
      <c r="B8" s="65" t="inlineStr">
        <is>
          <t>Netflix.com visitors (M/mo)</t>
        </is>
      </c>
      <c r="C8" s="66" t="n">
        <v>450</v>
      </c>
      <c r="D8" s="67" t="inlineStr">
        <is>
          <t>+5%</t>
        </is>
      </c>
      <c r="E8" s="68" t="inlineStr">
        <is>
          <t>NEUTRAL</t>
        </is>
      </c>
      <c r="F8" s="68" t="inlineStr">
        <is>
          <t>MEDIUM</t>
        </is>
      </c>
      <c r="G8" s="68" t="inlineStr">
        <is>
          <t>NO</t>
        </is>
      </c>
      <c r="H8" s="68" t="inlineStr">
        <is>
          <t>YES</t>
        </is>
      </c>
      <c r="I8" s="65" t="inlineStr">
        <is>
          <t>SimilarWeb</t>
        </is>
      </c>
    </row>
    <row r="9">
      <c r="A9" s="65" t="inlineStr">
        <is>
          <t>Web Traffic</t>
        </is>
      </c>
      <c r="B9" s="65" t="inlineStr">
        <is>
          <t>Cancel page traffic (M/mo)</t>
        </is>
      </c>
      <c r="C9" s="66" t="n">
        <v>12</v>
      </c>
      <c r="D9" s="67" t="inlineStr">
        <is>
          <t>+18%</t>
        </is>
      </c>
      <c r="E9" s="68" t="inlineStr">
        <is>
          <t>BEARISH</t>
        </is>
      </c>
      <c r="F9" s="68" t="inlineStr">
        <is>
          <t>MEDIUM</t>
        </is>
      </c>
      <c r="G9" s="68" t="inlineStr">
        <is>
          <t>NO</t>
        </is>
      </c>
      <c r="H9" s="68" t="inlineStr">
        <is>
          <t>YES</t>
        </is>
      </c>
      <c r="I9" s="65" t="inlineStr">
        <is>
          <t>SimilarWeb</t>
        </is>
      </c>
    </row>
    <row r="10">
      <c r="A10" s="65" t="inlineStr">
        <is>
          <t>Web Traffic</t>
        </is>
      </c>
      <c r="B10" s="65" t="inlineStr">
        <is>
          <t>Upgrade queries (M/mo)</t>
        </is>
      </c>
      <c r="C10" s="66" t="n">
        <v>3.2</v>
      </c>
      <c r="D10" s="67" t="inlineStr">
        <is>
          <t>+25%</t>
        </is>
      </c>
      <c r="E10" s="68" t="inlineStr">
        <is>
          <t>BULLISH</t>
        </is>
      </c>
      <c r="F10" s="68" t="inlineStr">
        <is>
          <t>LOW</t>
        </is>
      </c>
      <c r="G10" s="68" t="inlineStr">
        <is>
          <t>NO</t>
        </is>
      </c>
      <c r="H10" s="68" t="inlineStr">
        <is>
          <t>YES</t>
        </is>
      </c>
      <c r="I10" s="65" t="inlineStr">
        <is>
          <t>Internal</t>
        </is>
      </c>
    </row>
    <row r="11">
      <c r="A11" s="65" t="inlineStr">
        <is>
          <t>Talent Flow</t>
        </is>
      </c>
      <c r="B11" s="65" t="inlineStr">
        <is>
          <t>Eng job postings</t>
        </is>
      </c>
      <c r="C11" s="66" t="n">
        <v>847</v>
      </c>
      <c r="D11" s="67" t="inlineStr">
        <is>
          <t>+22%</t>
        </is>
      </c>
      <c r="E11" s="68" t="inlineStr">
        <is>
          <t>BULLISH</t>
        </is>
      </c>
      <c r="F11" s="68" t="inlineStr">
        <is>
          <t>HIGH</t>
        </is>
      </c>
      <c r="G11" s="68" t="inlineStr">
        <is>
          <t>NO</t>
        </is>
      </c>
      <c r="H11" s="68" t="inlineStr">
        <is>
          <t>YES</t>
        </is>
      </c>
      <c r="I11" s="65" t="inlineStr">
        <is>
          <t>LinkedIn</t>
        </is>
      </c>
    </row>
    <row r="12">
      <c r="A12" s="65" t="inlineStr">
        <is>
          <t>Talent Flow</t>
        </is>
      </c>
      <c r="B12" s="65" t="inlineStr">
        <is>
          <t>Ad tech postings</t>
        </is>
      </c>
      <c r="C12" s="66" t="n">
        <v>234</v>
      </c>
      <c r="D12" s="67" t="inlineStr">
        <is>
          <t>+68%</t>
        </is>
      </c>
      <c r="E12" s="68" t="inlineStr">
        <is>
          <t>BULLISH</t>
        </is>
      </c>
      <c r="F12" s="68" t="inlineStr">
        <is>
          <t>HIGH</t>
        </is>
      </c>
      <c r="G12" s="68" t="inlineStr">
        <is>
          <t>NO</t>
        </is>
      </c>
      <c r="H12" s="68" t="inlineStr">
        <is>
          <t>YES</t>
        </is>
      </c>
      <c r="I12" s="65" t="inlineStr">
        <is>
          <t>LinkedIn</t>
        </is>
      </c>
    </row>
    <row r="13">
      <c r="A13" s="65" t="inlineStr">
        <is>
          <t>Talent Flow</t>
        </is>
      </c>
      <c r="B13" s="66" t="inlineStr">
        <is>
          <t>CEO approval %</t>
        </is>
      </c>
      <c r="C13" s="66" t="inlineStr">
        <is>
          <t>78%</t>
        </is>
      </c>
      <c r="D13" s="68" t="inlineStr">
        <is>
          <t>-3pp</t>
        </is>
      </c>
      <c r="E13" s="68" t="inlineStr">
        <is>
          <t>NEUTRAL</t>
        </is>
      </c>
      <c r="F13" s="68" t="inlineStr">
        <is>
          <t>MEDIUM</t>
        </is>
      </c>
      <c r="G13" s="68" t="inlineStr">
        <is>
          <t>PARTIAL</t>
        </is>
      </c>
      <c r="H13" s="68" t="inlineStr">
        <is>
          <t>YES</t>
        </is>
      </c>
      <c r="I13" s="65" t="inlineStr">
        <is>
          <t>Glassdoor</t>
        </is>
      </c>
    </row>
    <row r="14">
      <c r="A14" s="65" t="inlineStr">
        <is>
          <t>Talent Flow</t>
        </is>
      </c>
      <c r="B14" s="65" t="inlineStr">
        <is>
          <t>Avg tenure (yrs)</t>
        </is>
      </c>
      <c r="C14" s="66" t="n">
        <v>3.4</v>
      </c>
      <c r="D14" s="68" t="inlineStr">
        <is>
          <t>-0.2</t>
        </is>
      </c>
      <c r="E14" s="68" t="inlineStr">
        <is>
          <t>BEARISH</t>
        </is>
      </c>
      <c r="F14" s="68" t="inlineStr">
        <is>
          <t>LOW</t>
        </is>
      </c>
      <c r="G14" s="68" t="inlineStr">
        <is>
          <t>NO</t>
        </is>
      </c>
      <c r="H14" s="68" t="inlineStr">
        <is>
          <t>NO</t>
        </is>
      </c>
      <c r="I14" s="65" t="inlineStr">
        <is>
          <t>Glassdoor</t>
        </is>
      </c>
    </row>
    <row r="15">
      <c r="A15" s="65" t="inlineStr">
        <is>
          <t>Advertiser Intel</t>
        </is>
      </c>
      <c r="B15" s="65" t="inlineStr">
        <is>
          <t>Ad CPM ($)</t>
        </is>
      </c>
      <c r="C15" s="66" t="n">
        <v>31.5</v>
      </c>
      <c r="D15" s="67" t="inlineStr">
        <is>
          <t>+15%</t>
        </is>
      </c>
      <c r="E15" s="68" t="inlineStr">
        <is>
          <t>BULLISH</t>
        </is>
      </c>
      <c r="F15" s="68" t="inlineStr">
        <is>
          <t>MEDIUM</t>
        </is>
      </c>
      <c r="G15" s="68" t="inlineStr">
        <is>
          <t>NO</t>
        </is>
      </c>
      <c r="H15" s="68" t="inlineStr">
        <is>
          <t>YES</t>
        </is>
      </c>
      <c r="I15" s="65" t="inlineStr">
        <is>
          <t>Agency talks</t>
        </is>
      </c>
    </row>
    <row r="16">
      <c r="A16" s="65" t="inlineStr">
        <is>
          <t>Advertiser Intel</t>
        </is>
      </c>
      <c r="B16" s="66" t="inlineStr">
        <is>
          <t>Retention rate %</t>
        </is>
      </c>
      <c r="C16" s="66" t="inlineStr">
        <is>
          <t>72%</t>
        </is>
      </c>
      <c r="D16" s="68" t="inlineStr">
        <is>
          <t>NEW</t>
        </is>
      </c>
      <c r="E16" s="68" t="inlineStr">
        <is>
          <t>NEUTRAL</t>
        </is>
      </c>
      <c r="F16" s="68" t="inlineStr">
        <is>
          <t>LOW</t>
        </is>
      </c>
      <c r="G16" s="68" t="inlineStr">
        <is>
          <t>NO</t>
        </is>
      </c>
      <c r="H16" s="68" t="inlineStr">
        <is>
          <t>YES</t>
        </is>
      </c>
      <c r="I16" s="65" t="inlineStr">
        <is>
          <t>Internal</t>
        </is>
      </c>
    </row>
    <row r="17">
      <c r="A17" s="65" t="inlineStr">
        <is>
          <t>Advertiser Intel</t>
        </is>
      </c>
      <c r="B17" s="66" t="inlineStr">
        <is>
          <t>Programmatic fill %</t>
        </is>
      </c>
      <c r="C17" s="66" t="inlineStr">
        <is>
          <t>85%</t>
        </is>
      </c>
      <c r="D17" s="67" t="inlineStr">
        <is>
          <t>+20pp</t>
        </is>
      </c>
      <c r="E17" s="68" t="inlineStr">
        <is>
          <t>BULLISH</t>
        </is>
      </c>
      <c r="F17" s="68" t="inlineStr">
        <is>
          <t>MEDIUM</t>
        </is>
      </c>
      <c r="G17" s="68" t="inlineStr">
        <is>
          <t>NO</t>
        </is>
      </c>
      <c r="H17" s="68" t="inlineStr">
        <is>
          <t>YES</t>
        </is>
      </c>
      <c r="I17" s="65" t="inlineStr">
        <is>
          <t>Internal</t>
        </is>
      </c>
    </row>
    <row r="18">
      <c r="A18" s="65" t="inlineStr">
        <is>
          <t>Social Intelligence</t>
        </is>
      </c>
      <c r="B18" s="65" t="inlineStr">
        <is>
          <t>Reddit sentiment</t>
        </is>
      </c>
      <c r="C18" s="66" t="n">
        <v>0.58</v>
      </c>
      <c r="D18" s="68" t="inlineStr">
        <is>
          <t>-0.05</t>
        </is>
      </c>
      <c r="E18" s="68" t="inlineStr">
        <is>
          <t>NEUTRAL</t>
        </is>
      </c>
      <c r="F18" s="68" t="inlineStr">
        <is>
          <t>LOW</t>
        </is>
      </c>
      <c r="G18" s="68" t="inlineStr">
        <is>
          <t>NO</t>
        </is>
      </c>
      <c r="H18" s="68" t="inlineStr">
        <is>
          <t>NO</t>
        </is>
      </c>
      <c r="I18" s="65" t="inlineStr">
        <is>
          <t>Reddit</t>
        </is>
      </c>
    </row>
    <row r="19">
      <c r="A19" s="65" t="inlineStr">
        <is>
          <t>Social Intelligence</t>
        </is>
      </c>
      <c r="B19" s="65" t="inlineStr">
        <is>
          <t>Twitter mentions/day (K)</t>
        </is>
      </c>
      <c r="C19" s="66" t="n">
        <v>12</v>
      </c>
      <c r="D19" s="67" t="inlineStr">
        <is>
          <t>+8%</t>
        </is>
      </c>
      <c r="E19" s="68" t="inlineStr">
        <is>
          <t>NEUTRAL</t>
        </is>
      </c>
      <c r="F19" s="68" t="inlineStr">
        <is>
          <t>LOW</t>
        </is>
      </c>
      <c r="G19" s="68" t="inlineStr">
        <is>
          <t>NO</t>
        </is>
      </c>
      <c r="H19" s="68" t="inlineStr">
        <is>
          <t>NO</t>
        </is>
      </c>
      <c r="I19" s="65" t="inlineStr">
        <is>
          <t>Twitter</t>
        </is>
      </c>
    </row>
    <row r="20">
      <c r="A20" s="65" t="inlineStr">
        <is>
          <t>Social Intelligence</t>
        </is>
      </c>
      <c r="B20" s="65" t="inlineStr">
        <is>
          <t>TikTok Netflix views (B)</t>
        </is>
      </c>
      <c r="C20" s="66" t="n">
        <v>2.1</v>
      </c>
      <c r="D20" s="67" t="inlineStr">
        <is>
          <t>+45%</t>
        </is>
      </c>
      <c r="E20" s="68" t="inlineStr">
        <is>
          <t>BULLISH</t>
        </is>
      </c>
      <c r="F20" s="68" t="inlineStr">
        <is>
          <t>MEDIUM</t>
        </is>
      </c>
      <c r="G20" s="68" t="inlineStr">
        <is>
          <t>NO</t>
        </is>
      </c>
      <c r="H20" s="68" t="inlineStr">
        <is>
          <t>YES</t>
        </is>
      </c>
      <c r="I20" s="65" t="inlineStr">
        <is>
          <t>TikTok</t>
        </is>
      </c>
    </row>
    <row r="21">
      <c r="A21" s="65" t="inlineStr">
        <is>
          <t>Subscriber Intel</t>
        </is>
      </c>
      <c r="B21" s="65" t="inlineStr">
        <is>
          <t>Pwd-share conversion (M)</t>
        </is>
      </c>
      <c r="C21" s="66" t="n">
        <v>30</v>
      </c>
      <c r="D21" s="68" t="inlineStr">
        <is>
          <t>EXCEEDED</t>
        </is>
      </c>
      <c r="E21" s="68" t="inlineStr">
        <is>
          <t>BULLISH</t>
        </is>
      </c>
      <c r="F21" s="68" t="inlineStr">
        <is>
          <t>HIGH</t>
        </is>
      </c>
      <c r="G21" s="68" t="inlineStr">
        <is>
          <t>NO</t>
        </is>
      </c>
      <c r="H21" s="68" t="inlineStr">
        <is>
          <t>YES</t>
        </is>
      </c>
      <c r="I21" s="65" t="inlineStr">
        <is>
          <t>Netflix</t>
        </is>
      </c>
    </row>
    <row r="22">
      <c r="A22" s="65" t="inlineStr">
        <is>
          <t>Subscriber Intel</t>
        </is>
      </c>
      <c r="B22" s="66" t="inlineStr">
        <is>
          <t>Churn rate %</t>
        </is>
      </c>
      <c r="C22" s="66" t="inlineStr">
        <is>
          <t>2.0%</t>
        </is>
      </c>
      <c r="D22" s="68" t="inlineStr">
        <is>
          <t>-0.3pp</t>
        </is>
      </c>
      <c r="E22" s="68" t="inlineStr">
        <is>
          <t>BULLISH</t>
        </is>
      </c>
      <c r="F22" s="68" t="inlineStr">
        <is>
          <t>HIGH</t>
        </is>
      </c>
      <c r="G22" s="68" t="inlineStr">
        <is>
          <t>NO</t>
        </is>
      </c>
      <c r="H22" s="68" t="inlineStr">
        <is>
          <t>YES</t>
        </is>
      </c>
      <c r="I22" s="65" t="inlineStr">
        <is>
          <t>Netflix</t>
        </is>
      </c>
    </row>
    <row r="23">
      <c r="A23" s="65" t="inlineStr">
        <is>
          <t>Subscriber Intel</t>
        </is>
      </c>
      <c r="B23" s="65" t="inlineStr">
        <is>
          <t>APAC adds (M/Q)</t>
        </is>
      </c>
      <c r="C23" s="66" t="n">
        <v>4.2</v>
      </c>
      <c r="D23" s="67" t="inlineStr">
        <is>
          <t>+25%</t>
        </is>
      </c>
      <c r="E23" s="68" t="inlineStr">
        <is>
          <t>BULLISH</t>
        </is>
      </c>
      <c r="F23" s="68" t="inlineStr">
        <is>
          <t>MEDIUM</t>
        </is>
      </c>
      <c r="G23" s="68" t="inlineStr">
        <is>
          <t>NO</t>
        </is>
      </c>
      <c r="H23" s="68" t="inlineStr">
        <is>
          <t>YES</t>
        </is>
      </c>
      <c r="I23" s="65" t="inlineStr">
        <is>
          <t>Netflix</t>
        </is>
      </c>
    </row>
    <row r="24">
      <c r="A24" s="65" t="inlineStr">
        <is>
          <t>Supply Chain</t>
        </is>
      </c>
      <c r="B24" s="65" t="inlineStr">
        <is>
          <t>Content spend/title ($M)</t>
        </is>
      </c>
      <c r="C24" s="66" t="n">
        <v>8.5</v>
      </c>
      <c r="D24" s="67" t="inlineStr">
        <is>
          <t>+12%</t>
        </is>
      </c>
      <c r="E24" s="68" t="inlineStr">
        <is>
          <t>NEUTRAL</t>
        </is>
      </c>
      <c r="F24" s="68" t="inlineStr">
        <is>
          <t>MEDIUM</t>
        </is>
      </c>
      <c r="G24" s="68" t="inlineStr">
        <is>
          <t>NO</t>
        </is>
      </c>
      <c r="H24" s="68" t="inlineStr">
        <is>
          <t>NO</t>
        </is>
      </c>
      <c r="I24" s="65" t="inlineStr">
        <is>
          <t>Variety</t>
        </is>
      </c>
    </row>
    <row r="25">
      <c r="A25" s="65" t="inlineStr">
        <is>
          <t>Supply Chain</t>
        </is>
      </c>
      <c r="B25" s="66" t="inlineStr">
        <is>
          <t>Post-prod AI adoption %</t>
        </is>
      </c>
      <c r="C25" s="66" t="inlineStr">
        <is>
          <t>45%</t>
        </is>
      </c>
      <c r="D25" s="67" t="inlineStr">
        <is>
          <t>+25pp</t>
        </is>
      </c>
      <c r="E25" s="68" t="inlineStr">
        <is>
          <t>BULLISH</t>
        </is>
      </c>
      <c r="F25" s="68" t="inlineStr">
        <is>
          <t>MEDIUM</t>
        </is>
      </c>
      <c r="G25" s="68" t="inlineStr">
        <is>
          <t>NO</t>
        </is>
      </c>
      <c r="H25" s="68" t="inlineStr">
        <is>
          <t>YES</t>
        </is>
      </c>
      <c r="I25" s="65" t="inlineStr">
        <is>
          <t>Industry</t>
        </is>
      </c>
    </row>
    <row r="26">
      <c r="A26" s="65" t="inlineStr">
        <is>
          <t>IP Activity</t>
        </is>
      </c>
      <c r="B26" s="65" t="inlineStr">
        <is>
          <t>Patent filings (TTM)</t>
        </is>
      </c>
      <c r="C26" s="66" t="n">
        <v>187</v>
      </c>
      <c r="D26" s="67" t="inlineStr">
        <is>
          <t>+15%</t>
        </is>
      </c>
      <c r="E26" s="68" t="inlineStr">
        <is>
          <t>BULLISH</t>
        </is>
      </c>
      <c r="F26" s="68" t="inlineStr">
        <is>
          <t>LOW</t>
        </is>
      </c>
      <c r="G26" s="68" t="inlineStr">
        <is>
          <t>PARTIAL</t>
        </is>
      </c>
      <c r="H26" s="68" t="inlineStr">
        <is>
          <t>YES</t>
        </is>
      </c>
      <c r="I26" s="65" t="inlineStr">
        <is>
          <t>USPTO</t>
        </is>
      </c>
    </row>
    <row r="27">
      <c r="A27" s="65" t="inlineStr">
        <is>
          <t>IP Activity</t>
        </is>
      </c>
      <c r="B27" s="65" t="inlineStr">
        <is>
          <t>Gaming patents</t>
        </is>
      </c>
      <c r="C27" s="66" t="n">
        <v>23</v>
      </c>
      <c r="D27" s="67" t="inlineStr">
        <is>
          <t>+8</t>
        </is>
      </c>
      <c r="E27" s="68" t="inlineStr">
        <is>
          <t>BULLISH</t>
        </is>
      </c>
      <c r="F27" s="68" t="inlineStr">
        <is>
          <t>LOW</t>
        </is>
      </c>
      <c r="G27" s="68" t="inlineStr">
        <is>
          <t>NO</t>
        </is>
      </c>
      <c r="H27" s="68" t="inlineStr">
        <is>
          <t>YES</t>
        </is>
      </c>
      <c r="I27" s="65" t="inlineStr">
        <is>
          <t>USPTO</t>
        </is>
      </c>
    </row>
    <row r="28">
      <c r="A28" s="65" t="inlineStr">
        <is>
          <t>Device Partners</t>
        </is>
      </c>
      <c r="B28" s="65" t="inlineStr">
        <is>
          <t>Smart TV agreements</t>
        </is>
      </c>
      <c r="C28" s="66" t="n">
        <v>7000</v>
      </c>
      <c r="D28" s="67" t="inlineStr">
        <is>
          <t>+500</t>
        </is>
      </c>
      <c r="E28" s="68" t="inlineStr">
        <is>
          <t>BULLISH</t>
        </is>
      </c>
      <c r="F28" s="68" t="inlineStr">
        <is>
          <t>HIGH</t>
        </is>
      </c>
      <c r="G28" s="68" t="inlineStr">
        <is>
          <t>NO</t>
        </is>
      </c>
      <c r="H28" s="68" t="inlineStr">
        <is>
          <t>YES</t>
        </is>
      </c>
      <c r="I28" s="65" t="inlineStr">
        <is>
          <t>Industry</t>
        </is>
      </c>
    </row>
    <row r="29">
      <c r="A29" s="65" t="inlineStr">
        <is>
          <t>Competitive Intel</t>
        </is>
      </c>
      <c r="B29" s="66" t="inlineStr">
        <is>
          <t>Disney+ losses to Netflix (M)</t>
        </is>
      </c>
      <c r="C29" s="66" t="n">
        <v>2.1</v>
      </c>
      <c r="D29" s="68" t="inlineStr">
        <is>
          <t>NEW</t>
        </is>
      </c>
      <c r="E29" s="68" t="inlineStr">
        <is>
          <t>BULLISH</t>
        </is>
      </c>
      <c r="F29" s="68" t="inlineStr">
        <is>
          <t>MEDIUM</t>
        </is>
      </c>
      <c r="G29" s="68" t="inlineStr">
        <is>
          <t>NO</t>
        </is>
      </c>
      <c r="H29" s="68" t="inlineStr">
        <is>
          <t>YES</t>
        </is>
      </c>
      <c r="I29" s="65" t="inlineStr">
        <is>
          <t>Reports</t>
        </is>
      </c>
    </row>
    <row r="30">
      <c r="A30" s="65" t="inlineStr">
        <is>
          <t>Insider Activity</t>
        </is>
      </c>
      <c r="B30" s="65" t="inlineStr">
        <is>
          <t>Net insider sales ($M)</t>
        </is>
      </c>
      <c r="C30" s="66" t="n">
        <v>-287</v>
      </c>
      <c r="D30" s="68" t="inlineStr">
        <is>
          <t>-$287M</t>
        </is>
      </c>
      <c r="E30" s="68" t="inlineStr">
        <is>
          <t>BEARISH</t>
        </is>
      </c>
      <c r="F30" s="68" t="inlineStr">
        <is>
          <t>HIGH</t>
        </is>
      </c>
      <c r="G30" s="68" t="inlineStr">
        <is>
          <t>PARTIAL</t>
        </is>
      </c>
      <c r="H30" s="68" t="inlineStr">
        <is>
          <t>YES</t>
        </is>
      </c>
      <c r="I30" s="65" t="inlineStr">
        <is>
          <t>SEC</t>
        </is>
      </c>
    </row>
    <row r="31">
      <c r="A31" s="65" t="inlineStr">
        <is>
          <t>Insider Activity</t>
        </is>
      </c>
      <c r="B31" s="65" t="inlineStr">
        <is>
          <t>Insider buy trans (90d)</t>
        </is>
      </c>
      <c r="C31" s="66" t="n">
        <v>0</v>
      </c>
      <c r="D31" s="68" t="inlineStr">
        <is>
          <t>0</t>
        </is>
      </c>
      <c r="E31" s="68" t="inlineStr">
        <is>
          <t>BEARISH</t>
        </is>
      </c>
      <c r="F31" s="68" t="inlineStr">
        <is>
          <t>HIGH</t>
        </is>
      </c>
      <c r="G31" s="68" t="inlineStr">
        <is>
          <t>NO</t>
        </is>
      </c>
      <c r="H31" s="68" t="inlineStr">
        <is>
          <t>NO</t>
        </is>
      </c>
      <c r="I31" s="65" t="inlineStr">
        <is>
          <t>SEC</t>
        </is>
      </c>
    </row>
    <row r="32">
      <c r="A32" s="65" t="inlineStr">
        <is>
          <t>Regulatory</t>
        </is>
      </c>
      <c r="B32" s="65" t="inlineStr">
        <is>
          <t>France tax investigation</t>
        </is>
      </c>
      <c r="C32" s="65" t="inlineStr">
        <is>
          <t>Active</t>
        </is>
      </c>
      <c r="D32" s="68" t="inlineStr">
        <is>
          <t>Ongoing</t>
        </is>
      </c>
      <c r="E32" s="68" t="inlineStr">
        <is>
          <t>BEARISH</t>
        </is>
      </c>
      <c r="F32" s="68" t="inlineStr">
        <is>
          <t>MEDIUM</t>
        </is>
      </c>
      <c r="G32" s="68" t="inlineStr">
        <is>
          <t>NO</t>
        </is>
      </c>
      <c r="H32" s="68" t="inlineStr">
        <is>
          <t>YES</t>
        </is>
      </c>
      <c r="I32" s="65" t="inlineStr">
        <is>
          <t>News</t>
        </is>
      </c>
    </row>
    <row r="33">
      <c r="A33" s="65" t="inlineStr">
        <is>
          <t>Regulatory</t>
        </is>
      </c>
      <c r="B33" s="65" t="inlineStr">
        <is>
          <t>EU DSA compliance ($M)</t>
        </is>
      </c>
      <c r="C33" s="66" t="n">
        <v>180</v>
      </c>
      <c r="D33" s="67" t="inlineStr">
        <is>
          <t>+80</t>
        </is>
      </c>
      <c r="E33" s="68" t="inlineStr">
        <is>
          <t>BEARISH</t>
        </is>
      </c>
      <c r="F33" s="68" t="inlineStr">
        <is>
          <t>LOW</t>
        </is>
      </c>
      <c r="G33" s="68" t="inlineStr">
        <is>
          <t>NO</t>
        </is>
      </c>
      <c r="H33" s="68" t="inlineStr">
        <is>
          <t>YES</t>
        </is>
      </c>
      <c r="I33" s="65" t="inlineStr">
        <is>
          <t>Est.</t>
        </is>
      </c>
    </row>
    <row r="35">
      <c r="A35" s="97" t="inlineStr">
        <is>
          <t>Mobile Usage</t>
        </is>
      </c>
      <c r="B35" s="2" t="inlineStr">
        <is>
          <t>iOS Daily Sessions (M)</t>
        </is>
      </c>
      <c r="C35" s="98" t="n">
        <v>12.5</v>
      </c>
      <c r="D35" s="99" t="inlineStr">
        <is>
          <t>+8%</t>
        </is>
      </c>
      <c r="E35" s="99" t="inlineStr">
        <is>
          <t>NEUTRAL</t>
        </is>
      </c>
      <c r="F35" s="99" t="inlineStr">
        <is>
          <t>MEDIUM</t>
        </is>
      </c>
      <c r="G35" s="99" t="inlineStr">
        <is>
          <t>NO</t>
        </is>
      </c>
      <c r="H35" s="99" t="inlineStr">
        <is>
          <t>YES</t>
        </is>
      </c>
      <c r="I35" s="2" t="inlineStr">
        <is>
          <t>App Annie</t>
        </is>
      </c>
    </row>
    <row r="36">
      <c r="A36" s="97" t="inlineStr">
        <is>
          <t>Mobile Usage</t>
        </is>
      </c>
      <c r="B36" s="97" t="inlineStr">
        <is>
          <t>Android Daily Sessions (M)</t>
        </is>
      </c>
      <c r="C36" s="100" t="n">
        <v>9.199999999999999</v>
      </c>
      <c r="D36" s="101" t="inlineStr">
        <is>
          <t>+14%</t>
        </is>
      </c>
      <c r="E36" s="101" t="inlineStr">
        <is>
          <t>BULLISH</t>
        </is>
      </c>
      <c r="F36" s="101" t="inlineStr">
        <is>
          <t>MEDIUM</t>
        </is>
      </c>
      <c r="G36" s="101" t="inlineStr">
        <is>
          <t>NO</t>
        </is>
      </c>
      <c r="H36" s="101" t="inlineStr">
        <is>
          <t>YES</t>
        </is>
      </c>
      <c r="I36" s="2" t="inlineStr">
        <is>
          <t>App Annie</t>
        </is>
      </c>
    </row>
    <row r="37">
      <c r="A37" s="2" t="inlineStr">
        <is>
          <t>Mobile Usage</t>
        </is>
      </c>
      <c r="B37" s="2" t="inlineStr">
        <is>
          <t>Session Length (min)</t>
        </is>
      </c>
      <c r="C37" s="98" t="n">
        <v>67.5</v>
      </c>
      <c r="D37" s="99" t="inlineStr">
        <is>
          <t>-2.1%</t>
        </is>
      </c>
      <c r="E37" s="102" t="inlineStr">
        <is>
          <t>BEARISH</t>
        </is>
      </c>
      <c r="F37" s="103" t="inlineStr">
        <is>
          <t>MEDIUM</t>
        </is>
      </c>
      <c r="G37" s="104" t="inlineStr">
        <is>
          <t>NO</t>
        </is>
      </c>
      <c r="H37" s="99" t="inlineStr">
        <is>
          <t>NO</t>
        </is>
      </c>
      <c r="I37" s="2" t="inlineStr">
        <is>
          <t>App Annie</t>
        </is>
      </c>
    </row>
    <row r="38">
      <c r="A38" s="2" t="inlineStr">
        <is>
          <t>CDN Performance</t>
        </is>
      </c>
      <c r="B38" s="2" t="inlineStr">
        <is>
          <t>Open Connect % traffic</t>
        </is>
      </c>
      <c r="C38" s="98" t="n">
        <v>89</v>
      </c>
      <c r="D38" s="99" t="inlineStr">
        <is>
          <t>+3pp</t>
        </is>
      </c>
      <c r="E38" s="102" t="inlineStr">
        <is>
          <t>NEUTRAL</t>
        </is>
      </c>
      <c r="F38" s="103" t="inlineStr">
        <is>
          <t>HIGH</t>
        </is>
      </c>
      <c r="G38" s="104" t="inlineStr">
        <is>
          <t>NO</t>
        </is>
      </c>
      <c r="H38" s="99" t="inlineStr">
        <is>
          <t>YES</t>
        </is>
      </c>
      <c r="I38" s="2" t="inlineStr">
        <is>
          <t>Internal</t>
        </is>
      </c>
    </row>
    <row r="39">
      <c r="A39" s="2" t="inlineStr">
        <is>
          <t>CDN Performance</t>
        </is>
      </c>
      <c r="B39" s="2" t="inlineStr">
        <is>
          <t>CDN cost per GB (est)</t>
        </is>
      </c>
      <c r="C39" s="98" t="n">
        <v>0.002</v>
      </c>
      <c r="D39" s="99" t="inlineStr">
        <is>
          <t>-5%</t>
        </is>
      </c>
      <c r="E39" s="102" t="inlineStr">
        <is>
          <t>BULLISH</t>
        </is>
      </c>
      <c r="F39" s="103" t="inlineStr">
        <is>
          <t>MEDIUM</t>
        </is>
      </c>
      <c r="G39" s="104" t="inlineStr">
        <is>
          <t>NO</t>
        </is>
      </c>
      <c r="H39" s="99" t="inlineStr">
        <is>
          <t>YES</t>
        </is>
      </c>
      <c r="I39" s="2" t="inlineStr">
        <is>
          <t>Industry</t>
        </is>
      </c>
    </row>
    <row r="40">
      <c r="A40" s="2" t="inlineStr">
        <is>
          <t>Streaming Quality</t>
        </is>
      </c>
      <c r="B40" s="2" t="inlineStr">
        <is>
          <t>% streams 4K</t>
        </is>
      </c>
      <c r="C40" s="98" t="n">
        <v>28</v>
      </c>
      <c r="D40" s="99" t="inlineStr">
        <is>
          <t>+4pp</t>
        </is>
      </c>
      <c r="E40" s="102" t="inlineStr">
        <is>
          <t>BULLISH</t>
        </is>
      </c>
      <c r="F40" s="103" t="inlineStr">
        <is>
          <t>MEDIUM</t>
        </is>
      </c>
      <c r="G40" s="104" t="inlineStr">
        <is>
          <t>NO</t>
        </is>
      </c>
      <c r="H40" s="99" t="inlineStr">
        <is>
          <t>YES</t>
        </is>
      </c>
      <c r="I40" s="2" t="inlineStr">
        <is>
          <t>Internal</t>
        </is>
      </c>
    </row>
    <row r="41">
      <c r="A41" s="2" t="inlineStr">
        <is>
          <t>Streaming Quality</t>
        </is>
      </c>
      <c r="B41" s="2" t="inlineStr">
        <is>
          <t>Rebuffer rate %</t>
        </is>
      </c>
      <c r="C41" s="98" t="n">
        <v>0.8</v>
      </c>
      <c r="D41" s="99" t="inlineStr">
        <is>
          <t>-0.1pp</t>
        </is>
      </c>
      <c r="E41" s="102" t="inlineStr">
        <is>
          <t>BULLISH</t>
        </is>
      </c>
      <c r="F41" s="103" t="inlineStr">
        <is>
          <t>MEDIUM</t>
        </is>
      </c>
      <c r="G41" s="104" t="inlineStr">
        <is>
          <t>NO</t>
        </is>
      </c>
      <c r="H41" s="99" t="inlineStr">
        <is>
          <t>YES</t>
        </is>
      </c>
      <c r="I41" s="2" t="inlineStr">
        <is>
          <t>Internal</t>
        </is>
      </c>
    </row>
    <row r="42">
      <c r="A42" s="2" t="inlineStr">
        <is>
          <t>Gaming Engagement</t>
        </is>
      </c>
      <c r="B42" s="2" t="inlineStr">
        <is>
          <t>Gaming session length (min)</t>
        </is>
      </c>
      <c r="C42" s="98" t="n">
        <v>23.5</v>
      </c>
      <c r="D42" s="99" t="inlineStr">
        <is>
          <t>+12%</t>
        </is>
      </c>
      <c r="E42" s="102" t="inlineStr">
        <is>
          <t>BULLISH</t>
        </is>
      </c>
      <c r="F42" s="103" t="inlineStr">
        <is>
          <t>MEDIUM</t>
        </is>
      </c>
      <c r="G42" s="104" t="inlineStr">
        <is>
          <t>NO</t>
        </is>
      </c>
      <c r="H42" s="99" t="inlineStr">
        <is>
          <t>YES</t>
        </is>
      </c>
      <c r="I42" s="2" t="inlineStr">
        <is>
          <t>Internal</t>
        </is>
      </c>
    </row>
    <row r="43">
      <c r="A43" s="2" t="inlineStr">
        <is>
          <t>Gaming Engagement</t>
        </is>
      </c>
      <c r="B43" s="2" t="inlineStr">
        <is>
          <t>Gaming ARPU (est)</t>
        </is>
      </c>
      <c r="C43" s="98" t="n">
        <v>2.5</v>
      </c>
      <c r="D43" s="99" t="inlineStr">
        <is>
          <t>+35%</t>
        </is>
      </c>
      <c r="E43" s="102" t="inlineStr">
        <is>
          <t>BULLISH</t>
        </is>
      </c>
      <c r="F43" s="103" t="inlineStr">
        <is>
          <t>LOW</t>
        </is>
      </c>
      <c r="G43" s="104" t="inlineStr">
        <is>
          <t>NO</t>
        </is>
      </c>
      <c r="H43" s="99" t="inlineStr">
        <is>
          <t>YES</t>
        </is>
      </c>
      <c r="I43" s="2" t="inlineStr">
        <is>
          <t>Est.</t>
        </is>
      </c>
    </row>
    <row r="44">
      <c r="A44" s="2" t="inlineStr">
        <is>
          <t>Marketing Efficiency</t>
        </is>
      </c>
      <c r="B44" s="2" t="inlineStr">
        <is>
          <t>CAC per sub ($)</t>
        </is>
      </c>
      <c r="C44" s="98" t="n">
        <v>18.5</v>
      </c>
      <c r="D44" s="99" t="inlineStr">
        <is>
          <t>-15%</t>
        </is>
      </c>
      <c r="E44" s="102" t="inlineStr">
        <is>
          <t>BULLISH</t>
        </is>
      </c>
      <c r="F44" s="103" t="inlineStr">
        <is>
          <t>MEDIUM</t>
        </is>
      </c>
      <c r="G44" s="104" t="inlineStr">
        <is>
          <t>NO</t>
        </is>
      </c>
      <c r="H44" s="99" t="inlineStr">
        <is>
          <t>YES</t>
        </is>
      </c>
      <c r="I44" s="2" t="inlineStr">
        <is>
          <t>Internal</t>
        </is>
      </c>
    </row>
    <row r="45">
      <c r="A45" s="65" t="inlineStr">
        <is>
          <t>CDN Monetization</t>
        </is>
      </c>
      <c r="B45" s="70" t="inlineStr">
        <is>
          <t>Open Connect svc</t>
        </is>
      </c>
      <c r="C45" s="70" t="inlineStr">
        <is>
          <t>Not considered</t>
        </is>
      </c>
      <c r="D45" s="70" t="inlineStr">
        <is>
          <t>New stream</t>
        </is>
      </c>
      <c r="E45" s="71" t="n">
        <v>3</v>
      </c>
      <c r="F45" s="72" t="n">
        <v>0.15</v>
      </c>
      <c r="G45" s="73">
        <f>E45*F45</f>
        <v/>
      </c>
      <c r="H45" s="70" t="inlineStr">
        <is>
          <t>36-48 months</t>
        </is>
      </c>
    </row>
    <row r="46">
      <c r="A46" s="65" t="inlineStr">
        <is>
          <t>Password Crackdown Ph2</t>
        </is>
      </c>
      <c r="B46" s="70" t="inlineStr">
        <is>
          <t>+20M subs</t>
        </is>
      </c>
      <c r="C46" s="70" t="inlineStr">
        <is>
          <t>+10M consensus</t>
        </is>
      </c>
      <c r="D46" s="70" t="inlineStr">
        <is>
          <t>+10M gap</t>
        </is>
      </c>
      <c r="E46" s="71" t="n">
        <v>4</v>
      </c>
      <c r="F46" s="72" t="n">
        <v>0.45</v>
      </c>
      <c r="G46" s="73">
        <f>E46*F46</f>
        <v/>
      </c>
      <c r="H46" s="70" t="inlineStr">
        <is>
          <t>6-12 months</t>
        </is>
      </c>
    </row>
    <row r="48">
      <c r="A48" s="69" t="inlineStr">
        <is>
          <t>NET DELTA VALUE</t>
        </is>
      </c>
      <c r="G48" s="74">
        <f>SUM(G37:G47)</f>
        <v/>
      </c>
    </row>
    <row r="50">
      <c r="A50" s="69" t="inlineStr">
        <is>
          <t>SECTION 3: CROSS-AGENT CORRELATION</t>
        </is>
      </c>
    </row>
    <row r="51">
      <c r="A51" s="64" t="inlineStr">
        <is>
          <t>Pattern ID</t>
        </is>
      </c>
      <c r="B51" s="64" t="inlineStr">
        <is>
          <t>Agents Involved</t>
        </is>
      </c>
      <c r="C51" s="64" t="inlineStr">
        <is>
          <t>Correlation Found</t>
        </is>
      </c>
      <c r="D51" s="64" t="inlineStr">
        <is>
          <t>Significance</t>
        </is>
      </c>
      <c r="E51" s="64" t="inlineStr">
        <is>
          <t>Implication</t>
        </is>
      </c>
      <c r="F51" s="64" t="inlineStr">
        <is>
          <t>Actionable?</t>
        </is>
      </c>
    </row>
    <row r="52">
      <c r="A52" s="67" t="inlineStr">
        <is>
          <t>CX-01</t>
        </is>
      </c>
      <c r="B52" s="65" t="inlineStr">
        <is>
          <t>Agents 1+12</t>
        </is>
      </c>
      <c r="C52" s="65" t="inlineStr">
        <is>
          <t>Off-BS obligations $15.3B</t>
        </is>
      </c>
      <c r="D52" s="68" t="inlineStr">
        <is>
          <t>HIGH</t>
        </is>
      </c>
      <c r="E52" s="65" t="inlineStr">
        <is>
          <t>Actual leverage 0.95x</t>
        </is>
      </c>
      <c r="F52" s="65" t="inlineStr">
        <is>
          <t>YES</t>
        </is>
      </c>
    </row>
    <row r="53">
      <c r="A53" s="67" t="inlineStr">
        <is>
          <t>CX-02</t>
        </is>
      </c>
      <c r="B53" s="65" t="inlineStr">
        <is>
          <t>Agents 3+19</t>
        </is>
      </c>
      <c r="C53" s="65" t="inlineStr">
        <is>
          <t>$287M insider selling</t>
        </is>
      </c>
      <c r="D53" s="68" t="inlineStr">
        <is>
          <t>HIGH</t>
        </is>
      </c>
      <c r="E53" s="65" t="inlineStr">
        <is>
          <t>Management confidence LOW</t>
        </is>
      </c>
      <c r="F53" s="65" t="inlineStr">
        <is>
          <t>YES</t>
        </is>
      </c>
    </row>
    <row r="54">
      <c r="A54" s="67" t="inlineStr">
        <is>
          <t>CX-03</t>
        </is>
      </c>
      <c r="B54" s="65" t="inlineStr">
        <is>
          <t>Agents 5+13</t>
        </is>
      </c>
      <c r="C54" s="65" t="inlineStr">
        <is>
          <t>Ad ARPU compression</t>
        </is>
      </c>
      <c r="D54" s="68" t="inlineStr">
        <is>
          <t>HIGH</t>
        </is>
      </c>
      <c r="E54" s="65" t="inlineStr">
        <is>
          <t>Ad cannibalization risk</t>
        </is>
      </c>
      <c r="F54" s="65" t="inlineStr">
        <is>
          <t>YES-monitor</t>
        </is>
      </c>
    </row>
    <row r="55">
      <c r="A55" s="67" t="inlineStr">
        <is>
          <t>CX-04</t>
        </is>
      </c>
      <c r="B55" s="65" t="inlineStr">
        <is>
          <t>Agents 2+14</t>
        </is>
      </c>
      <c r="C55" s="65" t="inlineStr">
        <is>
          <t>Content moat eroding</t>
        </is>
      </c>
      <c r="D55" s="68" t="inlineStr">
        <is>
          <t>HIGH</t>
        </is>
      </c>
      <c r="E55" s="65" t="inlineStr">
        <is>
          <t>Structural challenge</t>
        </is>
      </c>
      <c r="F55" s="65" t="inlineStr">
        <is>
          <t>YES-defensive</t>
        </is>
      </c>
    </row>
    <row r="56">
      <c r="A56" s="67" t="inlineStr">
        <is>
          <t>CX-05</t>
        </is>
      </c>
      <c r="B56" s="65" t="inlineStr">
        <is>
          <t>Agents 7+20</t>
        </is>
      </c>
      <c r="C56" s="65" t="inlineStr">
        <is>
          <t>SOTP optionality</t>
        </is>
      </c>
      <c r="D56" s="68" t="inlineStr">
        <is>
          <t>MEDIUM</t>
        </is>
      </c>
      <c r="E56" s="65" t="inlineStr">
        <is>
          <t>Concentrated in CDN</t>
        </is>
      </c>
      <c r="F56" s="65" t="inlineStr">
        <is>
          <t>YES</t>
        </is>
      </c>
    </row>
    <row r="57">
      <c r="A57" s="67" t="inlineStr">
        <is>
          <t>CX-06</t>
        </is>
      </c>
      <c r="B57" s="65" t="inlineStr">
        <is>
          <t>Agents 8+15</t>
        </is>
      </c>
      <c r="C57" s="65" t="inlineStr">
        <is>
          <t>Tone shift+co-CEO</t>
        </is>
      </c>
      <c r="D57" s="68" t="inlineStr">
        <is>
          <t>MEDIUM</t>
        </is>
      </c>
      <c r="E57" s="65" t="inlineStr">
        <is>
          <t>Narrative control</t>
        </is>
      </c>
      <c r="F57" s="65" t="inlineStr">
        <is>
          <t>YES</t>
        </is>
      </c>
    </row>
    <row r="58">
      <c r="A58" s="67" t="inlineStr">
        <is>
          <t>CX-07</t>
        </is>
      </c>
      <c r="B58" s="65" t="inlineStr">
        <is>
          <t>Agents 9+6</t>
        </is>
      </c>
      <c r="C58" s="65" t="inlineStr">
        <is>
          <t>Fortress BS+resilience</t>
        </is>
      </c>
      <c r="D58" s="68" t="inlineStr">
        <is>
          <t>HIGH</t>
        </is>
      </c>
      <c r="E58" s="65" t="inlineStr">
        <is>
          <t>Defensive quality</t>
        </is>
      </c>
      <c r="F58" s="65" t="inlineStr">
        <is>
          <t>YES</t>
        </is>
      </c>
    </row>
    <row r="59">
      <c r="A59" s="67" t="inlineStr">
        <is>
          <t>CX-08</t>
        </is>
      </c>
      <c r="B59" s="65" t="inlineStr">
        <is>
          <t>Agents 11+13</t>
        </is>
      </c>
      <c r="C59" s="65" t="inlineStr">
        <is>
          <t>NPS decline vs LTV</t>
        </is>
      </c>
      <c r="D59" s="68" t="inlineStr">
        <is>
          <t>MEDIUM</t>
        </is>
      </c>
      <c r="E59" s="65" t="inlineStr">
        <is>
          <t>6-12mo lag risk</t>
        </is>
      </c>
      <c r="F59" s="65" t="inlineStr">
        <is>
          <t>YES-early warn</t>
        </is>
      </c>
    </row>
    <row r="62">
      <c r="A62" s="69" t="inlineStr">
        <is>
          <t>SECTION 4: INFORMATION ADVANTAGE SCORECARD</t>
        </is>
      </c>
    </row>
    <row r="63">
      <c r="A63" s="64" t="inlineStr">
        <is>
          <t>Dimension</t>
        </is>
      </c>
      <c r="B63" s="64" t="inlineStr">
        <is>
          <t>Bloomberg Terminal</t>
        </is>
      </c>
      <c r="C63" s="64" t="inlineStr">
        <is>
          <t>CapIQ/S&amp;P</t>
        </is>
      </c>
      <c r="D63" s="64" t="inlineStr">
        <is>
          <t>Sell-Side</t>
        </is>
      </c>
      <c r="E63" s="64" t="inlineStr">
        <is>
          <t>Our System</t>
        </is>
      </c>
      <c r="F63" s="64" t="inlineStr">
        <is>
          <t>Edge (0-10)</t>
        </is>
      </c>
    </row>
    <row r="64">
      <c r="A64" s="65" t="inlineStr">
        <is>
          <t>Real-time user metrics</t>
        </is>
      </c>
      <c r="B64" s="75" t="n">
        <v>3</v>
      </c>
      <c r="C64" s="75" t="n">
        <v>2</v>
      </c>
      <c r="D64" s="75" t="n">
        <v>1</v>
      </c>
      <c r="E64" s="75" t="n">
        <v>9</v>
      </c>
      <c r="F64" s="76">
        <f>E64-D64</f>
        <v/>
      </c>
    </row>
    <row r="65">
      <c r="A65" s="65" t="inlineStr">
        <is>
          <t>Content performance data</t>
        </is>
      </c>
      <c r="B65" s="75" t="n">
        <v>4</v>
      </c>
      <c r="C65" s="75" t="n">
        <v>3</v>
      </c>
      <c r="D65" s="75" t="n">
        <v>5</v>
      </c>
      <c r="E65" s="75" t="n">
        <v>10</v>
      </c>
      <c r="F65" s="76">
        <f>E65-D65</f>
        <v/>
      </c>
    </row>
    <row r="66">
      <c r="A66" s="65" t="inlineStr">
        <is>
          <t>Advertiser intelligence</t>
        </is>
      </c>
      <c r="B66" s="75" t="n">
        <v>5</v>
      </c>
      <c r="C66" s="75" t="n">
        <v>4</v>
      </c>
      <c r="D66" s="75" t="n">
        <v>6</v>
      </c>
      <c r="E66" s="75" t="n">
        <v>9</v>
      </c>
      <c r="F66" s="76">
        <f>E66-D66</f>
        <v/>
      </c>
    </row>
    <row r="67">
      <c r="A67" s="65" t="inlineStr">
        <is>
          <t>Subscriber cohort analysis</t>
        </is>
      </c>
      <c r="B67" s="75" t="n">
        <v>4</v>
      </c>
      <c r="C67" s="75" t="n">
        <v>3</v>
      </c>
      <c r="D67" s="75" t="n">
        <v>2</v>
      </c>
      <c r="E67" s="75" t="n">
        <v>10</v>
      </c>
      <c r="F67" s="76">
        <f>E67-D67</f>
        <v/>
      </c>
    </row>
    <row r="68">
      <c r="A68" s="65" t="inlineStr">
        <is>
          <t>Off-balance-sheet liabilities</t>
        </is>
      </c>
      <c r="B68" s="75" t="n">
        <v>6</v>
      </c>
      <c r="C68" s="75" t="n">
        <v>5</v>
      </c>
      <c r="D68" s="75" t="n">
        <v>4</v>
      </c>
      <c r="E68" s="75" t="n">
        <v>10</v>
      </c>
      <c r="F68" s="76">
        <f>E68-D68</f>
        <v/>
      </c>
    </row>
    <row r="69">
      <c r="A69" s="65" t="inlineStr">
        <is>
          <t>Pricing power signals</t>
        </is>
      </c>
      <c r="B69" s="75" t="n">
        <v>3</v>
      </c>
      <c r="C69" s="75" t="n">
        <v>2</v>
      </c>
      <c r="D69" s="75" t="n">
        <v>3</v>
      </c>
      <c r="E69" s="75" t="n">
        <v>8</v>
      </c>
      <c r="F69" s="76">
        <f>E69-D69</f>
        <v/>
      </c>
    </row>
    <row r="70">
      <c r="A70" s="65" t="inlineStr">
        <is>
          <t>Churn early warnings</t>
        </is>
      </c>
      <c r="B70" s="75" t="n">
        <v>4</v>
      </c>
      <c r="C70" s="75" t="n">
        <v>2</v>
      </c>
      <c r="D70" s="75" t="n">
        <v>1</v>
      </c>
      <c r="E70" s="75" t="n">
        <v>9</v>
      </c>
      <c r="F70" s="76">
        <f>E70-D70</f>
        <v/>
      </c>
    </row>
    <row r="71">
      <c r="A71" s="65" t="inlineStr">
        <is>
          <t>International expansion insights</t>
        </is>
      </c>
      <c r="B71" s="75" t="n">
        <v>4</v>
      </c>
      <c r="C71" s="75" t="n">
        <v>3</v>
      </c>
      <c r="D71" s="75" t="n">
        <v>4</v>
      </c>
      <c r="E71" s="75" t="n">
        <v>8</v>
      </c>
      <c r="F71" s="76">
        <f>E71-D71</f>
        <v/>
      </c>
    </row>
    <row r="72">
      <c r="A72" s="65" t="inlineStr">
        <is>
          <t>Gaming revenue projection</t>
        </is>
      </c>
      <c r="B72" s="75" t="n">
        <v>2</v>
      </c>
      <c r="C72" s="75" t="n">
        <v>1</v>
      </c>
      <c r="D72" s="75" t="n">
        <v>1</v>
      </c>
      <c r="E72" s="75" t="n">
        <v>8</v>
      </c>
      <c r="F72" s="76">
        <f>E72-D72</f>
        <v/>
      </c>
    </row>
    <row r="73">
      <c r="A73" s="65" t="inlineStr">
        <is>
          <t>AI/tech spending trends</t>
        </is>
      </c>
      <c r="B73" s="75" t="n">
        <v>5</v>
      </c>
      <c r="C73" s="75" t="n">
        <v>3</v>
      </c>
      <c r="D73" s="75" t="n">
        <v>2</v>
      </c>
      <c r="E73" s="75" t="n">
        <v>9</v>
      </c>
      <c r="F73" s="76">
        <f>E73-D73</f>
        <v/>
      </c>
    </row>
    <row r="74">
      <c r="A74" s="65" t="inlineStr">
        <is>
          <t>IP/patent analysis</t>
        </is>
      </c>
      <c r="B74" s="75" t="n">
        <v>5</v>
      </c>
      <c r="C74" s="75" t="n">
        <v>6</v>
      </c>
      <c r="D74" s="75" t="n">
        <v>2</v>
      </c>
      <c r="E74" s="75" t="n">
        <v>7</v>
      </c>
      <c r="F74" s="76">
        <f>E74-D74</f>
        <v/>
      </c>
    </row>
    <row r="75">
      <c r="A75" s="65" t="inlineStr">
        <is>
          <t>Insider transaction signals</t>
        </is>
      </c>
      <c r="B75" s="75" t="n">
        <v>7</v>
      </c>
      <c r="C75" s="75" t="n">
        <v>6</v>
      </c>
      <c r="D75" s="75" t="n">
        <v>5</v>
      </c>
      <c r="E75" s="75" t="n">
        <v>10</v>
      </c>
      <c r="F75" s="76">
        <f>E75-D75</f>
        <v/>
      </c>
    </row>
    <row r="76">
      <c r="A76" s="65" t="inlineStr">
        <is>
          <t>Regulatory risk tracking</t>
        </is>
      </c>
      <c r="B76" s="75" t="n">
        <v>6</v>
      </c>
      <c r="C76" s="75" t="n">
        <v>5</v>
      </c>
      <c r="D76" s="75" t="n">
        <v>4</v>
      </c>
      <c r="E76" s="75" t="n">
        <v>9</v>
      </c>
      <c r="F76" s="76">
        <f>E76-D76</f>
        <v/>
      </c>
    </row>
    <row r="77">
      <c r="A77" s="65" t="inlineStr">
        <is>
          <t>Competitive share shifts</t>
        </is>
      </c>
      <c r="B77" s="75" t="n">
        <v>4</v>
      </c>
      <c r="C77" s="75" t="n">
        <v>3</v>
      </c>
      <c r="D77" s="75" t="n">
        <v>6</v>
      </c>
      <c r="E77" s="75" t="n">
        <v>9</v>
      </c>
      <c r="F77" s="76">
        <f>E77-D77</f>
        <v/>
      </c>
    </row>
    <row r="78">
      <c r="A78" s="65" t="inlineStr">
        <is>
          <t>Content library ROI</t>
        </is>
      </c>
      <c r="B78" s="75" t="n">
        <v>3</v>
      </c>
      <c r="C78" s="75" t="n">
        <v>2</v>
      </c>
      <c r="D78" s="75" t="n">
        <v>3</v>
      </c>
      <c r="E78" s="75" t="n">
        <v>9</v>
      </c>
      <c r="F78" s="76">
        <f>E78-D78</f>
        <v/>
      </c>
    </row>
    <row r="79">
      <c r="A79" s="65" t="inlineStr">
        <is>
          <t>Device/platform distribution</t>
        </is>
      </c>
      <c r="B79" s="75" t="n">
        <v>4</v>
      </c>
      <c r="C79" s="75" t="n">
        <v>3</v>
      </c>
      <c r="D79" s="75" t="n">
        <v>2</v>
      </c>
      <c r="E79" s="75" t="n">
        <v>9</v>
      </c>
      <c r="F79" s="76">
        <f>E79-D79</f>
        <v/>
      </c>
    </row>
    <row r="81">
      <c r="A81" s="77" t="inlineStr">
        <is>
          <t>Average Edge</t>
        </is>
      </c>
      <c r="B81" s="78">
        <f>AVERAGE(B64:B80)</f>
        <v/>
      </c>
      <c r="C81" s="78">
        <f>AVERAGE(C64:C80)</f>
        <v/>
      </c>
      <c r="D81" s="78">
        <f>AVERAGE(D64:D80)</f>
        <v/>
      </c>
      <c r="E81" s="78">
        <f>AVERAGE(E64:E80)</f>
        <v/>
      </c>
      <c r="F81" s="78">
        <f>AVERAGE(F64:F80)</f>
        <v/>
      </c>
    </row>
    <row r="83">
      <c r="A83" s="69" t="inlineStr">
        <is>
          <t>SECTION 5: HIDDEN CATALYST INTELLIGENCE</t>
        </is>
      </c>
    </row>
    <row r="84">
      <c r="A84" s="64" t="inlineStr">
        <is>
          <t>Date (Est.)</t>
        </is>
      </c>
      <c r="B84" s="64" t="inlineStr">
        <is>
          <t>Catalyst</t>
        </is>
      </c>
      <c r="C84" s="64" t="inlineStr">
        <is>
          <t>Type</t>
        </is>
      </c>
      <c r="D84" s="64" t="inlineStr">
        <is>
          <t>Probability</t>
        </is>
      </c>
      <c r="E84" s="64" t="inlineStr">
        <is>
          <t>Price Impact %</t>
        </is>
      </c>
      <c r="F84" s="64" t="inlineStr">
        <is>
          <t>Bloomberg Tracks?</t>
        </is>
      </c>
    </row>
    <row r="85">
      <c r="A85" s="65" t="inlineStr">
        <is>
          <t>Q2 2026</t>
        </is>
      </c>
      <c r="B85" s="65" t="inlineStr">
        <is>
          <t>Ad tier $3B run rate</t>
        </is>
      </c>
      <c r="C85" s="68" t="inlineStr">
        <is>
          <t>REVENUE</t>
        </is>
      </c>
      <c r="D85" s="79" t="n">
        <v>0.65</v>
      </c>
      <c r="E85" s="79" t="n">
        <v>7.5</v>
      </c>
      <c r="F85" s="68" t="inlineStr">
        <is>
          <t>NO</t>
        </is>
      </c>
    </row>
    <row r="86">
      <c r="A86" s="65" t="inlineStr">
        <is>
          <t>Q3 2026</t>
        </is>
      </c>
      <c r="B86" s="65" t="inlineStr">
        <is>
          <t>NFL rights expansion</t>
        </is>
      </c>
      <c r="C86" s="68" t="inlineStr">
        <is>
          <t>STRATEGIC</t>
        </is>
      </c>
      <c r="D86" s="79" t="n">
        <v>0.45</v>
      </c>
      <c r="E86" s="79" t="n">
        <v>11.5</v>
      </c>
      <c r="F86" s="68" t="inlineStr">
        <is>
          <t>PARTIAL</t>
        </is>
      </c>
    </row>
    <row r="87">
      <c r="A87" s="65" t="inlineStr">
        <is>
          <t>Q3 2026</t>
        </is>
      </c>
      <c r="B87" s="65" t="inlineStr">
        <is>
          <t>France tax ruling</t>
        </is>
      </c>
      <c r="C87" s="68" t="inlineStr">
        <is>
          <t>RISK</t>
        </is>
      </c>
      <c r="D87" s="79" t="n">
        <v>0.5</v>
      </c>
      <c r="E87" s="79" t="n">
        <v>-5.5</v>
      </c>
      <c r="F87" s="68" t="inlineStr">
        <is>
          <t>NO</t>
        </is>
      </c>
    </row>
    <row r="88">
      <c r="A88" s="65" t="inlineStr">
        <is>
          <t>Q4 2026</t>
        </is>
      </c>
      <c r="B88" s="65" t="inlineStr">
        <is>
          <t>Squid Game S3</t>
        </is>
      </c>
      <c r="C88" s="68" t="inlineStr">
        <is>
          <t>CONTENT</t>
        </is>
      </c>
      <c r="D88" s="79" t="n">
        <v>0.75</v>
      </c>
      <c r="E88" s="79" t="n">
        <v>4</v>
      </c>
      <c r="F88" s="68" t="inlineStr">
        <is>
          <t>PARTIAL</t>
        </is>
      </c>
    </row>
    <row r="89">
      <c r="A89" s="65" t="inlineStr">
        <is>
          <t>Q4 2026</t>
        </is>
      </c>
      <c r="B89" s="65" t="inlineStr">
        <is>
          <t>Gaming strategy</t>
        </is>
      </c>
      <c r="C89" s="68" t="inlineStr">
        <is>
          <t>PRODUCT</t>
        </is>
      </c>
      <c r="D89" s="79" t="n">
        <v>0.4</v>
      </c>
      <c r="E89" s="79" t="n">
        <v>6</v>
      </c>
      <c r="F89" s="68" t="inlineStr">
        <is>
          <t>NO</t>
        </is>
      </c>
    </row>
    <row r="90">
      <c r="A90" s="65" t="inlineStr">
        <is>
          <t>Q1 2027</t>
        </is>
      </c>
      <c r="B90" s="65" t="inlineStr">
        <is>
          <t>Price hike rollout</t>
        </is>
      </c>
      <c r="C90" s="68" t="inlineStr">
        <is>
          <t>PRICING</t>
        </is>
      </c>
      <c r="D90" s="79" t="n">
        <v>0.7</v>
      </c>
      <c r="E90" s="79" t="n">
        <v>3</v>
      </c>
      <c r="F90" s="68" t="inlineStr">
        <is>
          <t>NO</t>
        </is>
      </c>
    </row>
    <row r="91">
      <c r="A91" s="65" t="inlineStr">
        <is>
          <t>Q1 2027</t>
        </is>
      </c>
      <c r="B91" s="65" t="inlineStr">
        <is>
          <t>Ad self-serve</t>
        </is>
      </c>
      <c r="C91" s="68" t="inlineStr">
        <is>
          <t>PRODUCT</t>
        </is>
      </c>
      <c r="D91" s="79" t="n">
        <v>0.55</v>
      </c>
      <c r="E91" s="79" t="n">
        <v>4.5</v>
      </c>
      <c r="F91" s="68" t="inlineStr">
        <is>
          <t>NO</t>
        </is>
      </c>
    </row>
    <row r="92">
      <c r="A92" s="65" t="inlineStr">
        <is>
          <t>H1 2027</t>
        </is>
      </c>
      <c r="B92" s="65" t="inlineStr">
        <is>
          <t>India 50M subs</t>
        </is>
      </c>
      <c r="C92" s="68" t="inlineStr">
        <is>
          <t>EXPANSION</t>
        </is>
      </c>
      <c r="D92" s="79" t="n">
        <v>0.45</v>
      </c>
      <c r="E92" s="79" t="n">
        <v>3</v>
      </c>
      <c r="F92" s="68" t="inlineStr">
        <is>
          <t>NO</t>
        </is>
      </c>
    </row>
    <row r="93">
      <c r="A93" s="65" t="inlineStr">
        <is>
          <t>H2 2027</t>
        </is>
      </c>
      <c r="B93" s="65" t="inlineStr">
        <is>
          <t>CDN-as-svc pilot</t>
        </is>
      </c>
      <c r="C93" s="68" t="inlineStr">
        <is>
          <t>STRATEGIC</t>
        </is>
      </c>
      <c r="D93" s="79" t="n">
        <v>0.2</v>
      </c>
      <c r="E93" s="79" t="n">
        <v>5.5</v>
      </c>
      <c r="F93" s="68" t="inlineStr">
        <is>
          <t>NO</t>
        </is>
      </c>
    </row>
    <row r="94">
      <c r="A94" s="65" t="inlineStr">
        <is>
          <t>RISK</t>
        </is>
      </c>
      <c r="B94" s="65" t="inlineStr">
        <is>
          <t>Content miss</t>
        </is>
      </c>
      <c r="C94" s="68" t="inlineStr">
        <is>
          <t>RISK</t>
        </is>
      </c>
      <c r="D94" s="79" t="n">
        <v>0.2</v>
      </c>
      <c r="E94" s="79" t="n">
        <v>-8.5</v>
      </c>
      <c r="F94" s="68" t="inlineStr">
        <is>
          <t>NO</t>
        </is>
      </c>
    </row>
    <row r="95">
      <c r="A95" s="65" t="inlineStr">
        <is>
          <t>RISK</t>
        </is>
      </c>
      <c r="B95" s="65" t="inlineStr">
        <is>
          <t>Ad CPM collapse</t>
        </is>
      </c>
      <c r="C95" s="68" t="inlineStr">
        <is>
          <t>RISK</t>
        </is>
      </c>
      <c r="D95" s="79" t="n">
        <v>0.25</v>
      </c>
      <c r="E95" s="79" t="n">
        <v>-11.5</v>
      </c>
      <c r="F95" s="68" t="inlineStr">
        <is>
          <t>NO</t>
        </is>
      </c>
    </row>
    <row r="96">
      <c r="A96" s="65" t="inlineStr">
        <is>
          <t>RISK</t>
        </is>
      </c>
      <c r="B96" s="65" t="inlineStr">
        <is>
          <t>Tariff escalation</t>
        </is>
      </c>
      <c r="C96" s="68" t="inlineStr">
        <is>
          <t>MACRO</t>
        </is>
      </c>
      <c r="D96" s="79" t="n">
        <v>0.3</v>
      </c>
      <c r="E96" s="79" t="n">
        <v>-7.5</v>
      </c>
      <c r="F96" s="68" t="inlineStr">
        <is>
          <t>PARTIAL</t>
        </is>
      </c>
    </row>
    <row r="97">
      <c r="A97" s="65" t="inlineStr"/>
      <c r="B97" s="65" t="inlineStr"/>
      <c r="C97" s="65" t="inlineStr"/>
      <c r="D97" s="65" t="inlineStr"/>
      <c r="E97" s="65" t="inlineStr"/>
      <c r="F97" s="65" t="inlineStr"/>
      <c r="G97" s="65" t="inlineStr"/>
      <c r="H97" s="65" t="inlineStr"/>
      <c r="I97" s="65" t="inlineStr"/>
    </row>
    <row r="98">
      <c r="A98" s="105" t="inlineStr">
        <is>
          <t>METHODOLOGY NOTES</t>
        </is>
      </c>
      <c r="B98" s="65" t="inlineStr"/>
      <c r="C98" s="65" t="inlineStr"/>
      <c r="D98" s="65" t="inlineStr"/>
      <c r="E98" s="65" t="inlineStr"/>
      <c r="F98" s="65" t="inlineStr"/>
      <c r="G98" s="65" t="inlineStr"/>
      <c r="H98" s="65" t="inlineStr"/>
      <c r="I98" s="65" t="inlineStr"/>
    </row>
    <row r="99">
      <c r="A99" s="65" t="inlineStr">
        <is>
          <t>Data Collection</t>
        </is>
      </c>
      <c r="B99" s="65" t="inlineStr">
        <is>
          <t>Real-time app analytics, web crawling, regulatory filings, insider trades</t>
        </is>
      </c>
      <c r="C99" s="65" t="inlineStr"/>
      <c r="D99" s="65" t="inlineStr"/>
      <c r="E99" s="65" t="inlineStr"/>
      <c r="F99" s="65" t="inlineStr"/>
      <c r="G99" s="65" t="inlineStr"/>
      <c r="H99" s="65" t="inlineStr"/>
      <c r="I99" s="65" t="inlineStr"/>
    </row>
    <row r="100">
      <c r="A100" s="65" t="inlineStr">
        <is>
          <t>Refresh Frequency</t>
        </is>
      </c>
      <c r="B100" s="65" t="inlineStr">
        <is>
          <t>Daily for app metrics, weekly for macro signals, continuous for insider/regulatory</t>
        </is>
      </c>
      <c r="C100" s="65" t="inlineStr"/>
      <c r="D100" s="65" t="inlineStr"/>
      <c r="E100" s="65" t="inlineStr"/>
      <c r="F100" s="65" t="inlineStr"/>
      <c r="G100" s="65" t="inlineStr"/>
      <c r="H100" s="65" t="inlineStr"/>
      <c r="I100" s="65" t="inlineStr"/>
    </row>
    <row r="101">
      <c r="A101" s="65" t="inlineStr">
        <is>
          <t>Confidence Scoring</t>
        </is>
      </c>
      <c r="B101" s="65" t="inlineStr">
        <is>
          <t>HIGH (85%+): Multi-source corroboration, direct observation</t>
        </is>
      </c>
      <c r="C101" s="65" t="inlineStr"/>
      <c r="D101" s="65" t="inlineStr"/>
      <c r="E101" s="65" t="inlineStr"/>
      <c r="F101" s="65" t="inlineStr"/>
      <c r="G101" s="65" t="inlineStr"/>
      <c r="H101" s="65" t="inlineStr"/>
      <c r="I101" s="65" t="inlineStr"/>
    </row>
    <row r="102">
      <c r="A102" s="65" t="inlineStr"/>
      <c r="B102" s="65" t="inlineStr">
        <is>
          <t>MEDIUM (60-85%): Primary + secondary sources, reasonable inference</t>
        </is>
      </c>
      <c r="C102" s="65" t="inlineStr"/>
      <c r="D102" s="65" t="inlineStr"/>
      <c r="E102" s="65" t="inlineStr"/>
      <c r="F102" s="65" t="inlineStr"/>
      <c r="G102" s="65" t="inlineStr"/>
      <c r="H102" s="65" t="inlineStr"/>
      <c r="I102" s="65" t="inlineStr"/>
    </row>
    <row r="103">
      <c r="A103" s="65" t="inlineStr"/>
      <c r="B103" s="65" t="inlineStr">
        <is>
          <t>LOW (&lt;60%): Single source, forward-looking assumption, subject to change</t>
        </is>
      </c>
      <c r="C103" s="65" t="inlineStr"/>
      <c r="D103" s="65" t="inlineStr"/>
      <c r="E103" s="65" t="inlineStr"/>
      <c r="F103" s="65" t="inlineStr"/>
      <c r="G103" s="65" t="inlineStr"/>
      <c r="H103" s="65" t="inlineStr"/>
      <c r="I103" s="65" t="inlineStr"/>
    </row>
    <row r="104">
      <c r="A104" s="65" t="inlineStr">
        <is>
          <t>Data Validation</t>
        </is>
      </c>
      <c r="B104" s="65" t="inlineStr">
        <is>
          <t>Cross-reference with 20-agent system, Bloomberg checks, management guidance</t>
        </is>
      </c>
      <c r="C104" s="65" t="inlineStr"/>
      <c r="D104" s="65" t="inlineStr"/>
      <c r="E104" s="65" t="inlineStr"/>
      <c r="F104" s="65" t="inlineStr"/>
      <c r="G104" s="65" t="inlineStr"/>
      <c r="H104" s="65" t="inlineStr"/>
      <c r="I104" s="65" t="inlineStr"/>
    </row>
    <row r="105">
      <c r="A105" s="65" t="inlineStr">
        <is>
          <t>Edge Assessment</t>
        </is>
      </c>
      <c r="B105" s="65" t="inlineStr">
        <is>
          <t>Bloomberg Terminal may see 40% of our signals; CapIQ/S&amp;P see 30%; Street maybe 20%</t>
        </is>
      </c>
      <c r="C105" s="65" t="inlineStr"/>
      <c r="D105" s="65" t="inlineStr"/>
      <c r="E105" s="65" t="inlineStr"/>
      <c r="F105" s="65" t="inlineStr"/>
      <c r="G105" s="65" t="inlineStr"/>
      <c r="H105" s="65" t="inlineStr"/>
      <c r="I105" s="65" t="inlineStr"/>
    </row>
    <row r="106">
      <c r="A106" s="65" t="inlineStr">
        <is>
          <t>Risk Adjustments</t>
        </is>
      </c>
      <c r="B106" s="65" t="inlineStr">
        <is>
          <t>Haircut for model uncertainty, time decay on stale signals, tail risk buffer</t>
        </is>
      </c>
      <c r="C106" s="65" t="inlineStr"/>
      <c r="D106" s="65" t="inlineStr"/>
      <c r="E106" s="65" t="inlineStr"/>
      <c r="F106" s="65" t="inlineStr"/>
      <c r="G106" s="65" t="inlineStr"/>
      <c r="H106" s="65" t="inlineStr"/>
      <c r="I106" s="65" t="inlineStr"/>
    </row>
    <row r="107">
      <c r="A107" s="65" t="inlineStr">
        <is>
          <t>Recommendation Update</t>
        </is>
      </c>
      <c r="B107" s="65" t="inlineStr">
        <is>
          <t>Signal changes trigger tier-up/down within 48 hours</t>
        </is>
      </c>
      <c r="C107" s="65" t="inlineStr"/>
      <c r="D107" s="65" t="inlineStr"/>
      <c r="E107" s="65" t="inlineStr"/>
      <c r="F107" s="65" t="inlineStr"/>
      <c r="G107" s="65" t="inlineStr"/>
      <c r="H107" s="65" t="inlineStr"/>
      <c r="I107" s="65" t="inlineStr"/>
    </row>
    <row r="108">
      <c r="A108" s="65" t="inlineStr"/>
      <c r="B108" s="65" t="inlineStr"/>
      <c r="C108" s="65" t="inlineStr"/>
      <c r="D108" s="65" t="inlineStr"/>
      <c r="E108" s="65" t="inlineStr"/>
      <c r="F108" s="65" t="inlineStr"/>
      <c r="G108" s="65" t="inlineStr"/>
      <c r="H108" s="65" t="inlineStr"/>
      <c r="I108" s="65" t="inlineStr"/>
    </row>
    <row r="109">
      <c r="A109" s="105" t="inlineStr">
        <is>
          <t>AGENT CORRELATION MATRIX LEGEND</t>
        </is>
      </c>
      <c r="B109" s="65" t="inlineStr"/>
      <c r="C109" s="65" t="inlineStr"/>
      <c r="D109" s="65" t="inlineStr"/>
      <c r="E109" s="65" t="inlineStr"/>
      <c r="F109" s="65" t="inlineStr"/>
      <c r="G109" s="65" t="inlineStr"/>
      <c r="H109" s="65" t="inlineStr"/>
      <c r="I109" s="65" t="inlineStr"/>
    </row>
    <row r="110">
      <c r="A110" s="65" t="inlineStr">
        <is>
          <t>HIGH Correlation</t>
        </is>
      </c>
      <c r="B110" s="65" t="inlineStr">
        <is>
          <t>Two agents flagged same risk/opportunity independently; high conviction</t>
        </is>
      </c>
      <c r="C110" s="65" t="inlineStr"/>
      <c r="D110" s="65" t="inlineStr"/>
      <c r="E110" s="65" t="inlineStr"/>
      <c r="F110" s="65" t="inlineStr"/>
      <c r="G110" s="65" t="inlineStr"/>
      <c r="H110" s="65" t="inlineStr"/>
      <c r="I110" s="65" t="inlineStr"/>
    </row>
    <row r="111">
      <c r="A111" s="65" t="inlineStr">
        <is>
          <t>MEDIUM Correlation</t>
        </is>
      </c>
      <c r="B111" s="65" t="inlineStr">
        <is>
          <t>Agents touch same topic but with different emphasis; moderate conviction</t>
        </is>
      </c>
      <c r="C111" s="65" t="inlineStr"/>
      <c r="D111" s="65" t="inlineStr"/>
      <c r="E111" s="65" t="inlineStr"/>
      <c r="F111" s="65" t="inlineStr"/>
      <c r="G111" s="65" t="inlineStr"/>
      <c r="H111" s="65" t="inlineStr"/>
      <c r="I111" s="65" t="inlineStr"/>
    </row>
    <row r="112">
      <c r="A112" s="65" t="inlineStr">
        <is>
          <t>LOW Correlation</t>
        </is>
      </c>
      <c r="B112" s="65" t="inlineStr">
        <is>
          <t>Agents may overlap but causality unclear; low conviction</t>
        </is>
      </c>
      <c r="C112" s="65" t="inlineStr"/>
      <c r="D112" s="65" t="inlineStr"/>
      <c r="E112" s="65" t="inlineStr"/>
      <c r="F112" s="65" t="inlineStr"/>
      <c r="G112" s="65" t="inlineStr"/>
      <c r="H112" s="65" t="inlineStr"/>
      <c r="I112" s="65" t="inlineStr"/>
    </row>
    <row r="113">
      <c r="A113" s="65" t="inlineStr"/>
      <c r="B113" s="65" t="inlineStr"/>
      <c r="C113" s="65" t="inlineStr"/>
      <c r="D113" s="65" t="inlineStr"/>
      <c r="E113" s="65" t="inlineStr"/>
      <c r="F113" s="65" t="inlineStr"/>
      <c r="G113" s="65" t="inlineStr"/>
      <c r="H113" s="65" t="inlineStr"/>
      <c r="I113" s="65" t="inlineStr"/>
    </row>
    <row r="114">
      <c r="A114" s="105" t="inlineStr">
        <is>
          <t>KEY DEFINITIONS</t>
        </is>
      </c>
      <c r="B114" s="65" t="inlineStr"/>
      <c r="C114" s="65" t="inlineStr"/>
      <c r="D114" s="65" t="inlineStr"/>
      <c r="E114" s="65" t="inlineStr"/>
      <c r="F114" s="65" t="inlineStr"/>
      <c r="G114" s="65" t="inlineStr"/>
      <c r="H114" s="65" t="inlineStr"/>
      <c r="I114" s="65" t="inlineStr"/>
    </row>
    <row r="115">
      <c r="A115" s="65" t="inlineStr">
        <is>
          <t>Off-Balance-Sheet</t>
        </is>
      </c>
      <c r="B115" s="65" t="inlineStr">
        <is>
          <t>Content obligations, guaranteed payments, contingent liabilities not consolidated</t>
        </is>
      </c>
      <c r="C115" s="65" t="inlineStr"/>
      <c r="D115" s="65" t="inlineStr"/>
      <c r="E115" s="65" t="inlineStr"/>
      <c r="F115" s="65" t="inlineStr"/>
      <c r="G115" s="65" t="inlineStr"/>
      <c r="H115" s="65" t="inlineStr"/>
      <c r="I115" s="65" t="inlineStr"/>
    </row>
    <row r="116">
      <c r="A116" s="65" t="inlineStr">
        <is>
          <t>Variant View</t>
        </is>
      </c>
      <c r="B116" s="65" t="inlineStr">
        <is>
          <t>Conviction that markets are mispricing risk/opportunity relative to consensus</t>
        </is>
      </c>
      <c r="C116" s="65" t="inlineStr"/>
      <c r="D116" s="65" t="inlineStr"/>
      <c r="E116" s="65" t="inlineStr"/>
      <c r="F116" s="65" t="inlineStr"/>
      <c r="G116" s="65" t="inlineStr"/>
      <c r="H116" s="65" t="inlineStr"/>
      <c r="I116" s="65" t="inlineStr"/>
    </row>
    <row r="117">
      <c r="A117" s="65" t="inlineStr">
        <is>
          <t>Edge vs Street</t>
        </is>
      </c>
      <c r="B117" s="65" t="inlineStr">
        <is>
          <t>Information advantage: unique to this 20-agent system vs public research</t>
        </is>
      </c>
      <c r="C117" s="65" t="inlineStr"/>
      <c r="D117" s="65" t="inlineStr"/>
      <c r="E117" s="65" t="inlineStr"/>
      <c r="F117" s="65" t="inlineStr"/>
      <c r="G117" s="65" t="inlineStr"/>
      <c r="H117" s="65" t="inlineStr"/>
      <c r="I117" s="65" t="inlineStr"/>
    </row>
    <row r="118">
      <c r="A118" s="65" t="inlineStr">
        <is>
          <t>Expected Value</t>
        </is>
      </c>
      <c r="B118" s="65" t="inlineStr">
        <is>
          <t>Impact ($B) × Probability = risk-adjusted contribution to thesis</t>
        </is>
      </c>
      <c r="C118" s="65" t="inlineStr"/>
      <c r="D118" s="65" t="inlineStr"/>
      <c r="E118" s="65" t="inlineStr"/>
      <c r="F118" s="65" t="inlineStr"/>
      <c r="G118" s="65" t="inlineStr"/>
      <c r="H118" s="65" t="inlineStr"/>
      <c r="I118" s="65" t="inlineStr"/>
    </row>
    <row r="119">
      <c r="A119" s="65" t="inlineStr">
        <is>
          <t>Time Horizon</t>
        </is>
      </c>
      <c r="B119" s="65" t="inlineStr">
        <is>
          <t>When catalyst/risk is expected to materialize and move stock price</t>
        </is>
      </c>
      <c r="C119" s="65" t="inlineStr"/>
      <c r="D119" s="65" t="inlineStr"/>
      <c r="E119" s="65" t="inlineStr"/>
      <c r="F119" s="65" t="inlineStr"/>
      <c r="G119" s="65" t="inlineStr"/>
      <c r="H119" s="65" t="inlineStr"/>
      <c r="I119" s="6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933FF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80" t="inlineStr">
        <is>
          <t>Genre</t>
        </is>
      </c>
      <c r="B1" s="80" t="inlineStr">
        <is>
          <t># Titles (2025)</t>
        </is>
      </c>
      <c r="C1" s="80" t="inlineStr">
        <is>
          <t>Avg Cost ($M)</t>
        </is>
      </c>
      <c r="D1" s="80" t="inlineStr">
        <is>
          <t>Avg Views (M)</t>
        </is>
      </c>
      <c r="E1" s="80" t="inlineStr">
        <is>
          <t>ROI %</t>
        </is>
      </c>
      <c r="F1" s="80" t="inlineStr">
        <is>
          <t>Hit Rate %</t>
        </is>
      </c>
      <c r="G1" s="80" t="inlineStr">
        <is>
          <t>Trend</t>
        </is>
      </c>
      <c r="H1" s="80" t="inlineStr">
        <is>
          <t>2026E Budget</t>
        </is>
      </c>
      <c r="I1" s="80" t="inlineStr">
        <is>
          <t>Strategic Value</t>
        </is>
      </c>
    </row>
    <row r="2">
      <c r="A2" s="40" t="inlineStr">
        <is>
          <t>Drama</t>
        </is>
      </c>
      <c r="B2" s="81" t="n">
        <v>12</v>
      </c>
      <c r="C2" s="82" t="n">
        <v>45</v>
      </c>
      <c r="D2" s="83" t="n">
        <v>180.5</v>
      </c>
      <c r="E2" s="83" t="n">
        <v>4.01</v>
      </c>
      <c r="F2" s="84" t="n">
        <v>83.3</v>
      </c>
      <c r="G2" s="40" t="inlineStr">
        <is>
          <t>BULLISH</t>
        </is>
      </c>
      <c r="H2" s="85" t="n">
        <v>15</v>
      </c>
      <c r="I2" s="40" t="inlineStr">
        <is>
          <t>High</t>
        </is>
      </c>
    </row>
    <row r="3">
      <c r="A3" s="40" t="inlineStr">
        <is>
          <t>Comedy</t>
        </is>
      </c>
      <c r="B3" s="81" t="n">
        <v>8</v>
      </c>
      <c r="C3" s="82" t="n">
        <v>25</v>
      </c>
      <c r="D3" s="83" t="n">
        <v>95.3</v>
      </c>
      <c r="E3" s="83" t="n">
        <v>3.81</v>
      </c>
      <c r="F3" s="84" t="n">
        <v>75</v>
      </c>
      <c r="G3" s="40" t="inlineStr">
        <is>
          <t>NEUTRAL</t>
        </is>
      </c>
      <c r="H3" s="85" t="n">
        <v>12</v>
      </c>
      <c r="I3" s="40" t="inlineStr">
        <is>
          <t>Moderate</t>
        </is>
      </c>
    </row>
    <row r="4">
      <c r="A4" s="40" t="inlineStr">
        <is>
          <t>Action/Adventure</t>
        </is>
      </c>
      <c r="B4" s="81" t="n">
        <v>6</v>
      </c>
      <c r="C4" s="82" t="n">
        <v>55</v>
      </c>
      <c r="D4" s="83" t="n">
        <v>210.5</v>
      </c>
      <c r="E4" s="83" t="n">
        <v>3.83</v>
      </c>
      <c r="F4" s="84" t="n">
        <v>66.7</v>
      </c>
      <c r="G4" s="40" t="inlineStr">
        <is>
          <t>NEUTRAL</t>
        </is>
      </c>
      <c r="H4" s="85" t="n">
        <v>14</v>
      </c>
      <c r="I4" s="40" t="inlineStr">
        <is>
          <t>High</t>
        </is>
      </c>
    </row>
    <row r="5">
      <c r="A5" s="40" t="inlineStr">
        <is>
          <t>Documentary</t>
        </is>
      </c>
      <c r="B5" s="81" t="n">
        <v>15</v>
      </c>
      <c r="C5" s="82" t="n">
        <v>8.5</v>
      </c>
      <c r="D5" s="83" t="n">
        <v>35.2</v>
      </c>
      <c r="E5" s="83" t="n">
        <v>4.14</v>
      </c>
      <c r="F5" s="84" t="n">
        <v>86.7</v>
      </c>
      <c r="G5" s="40" t="inlineStr">
        <is>
          <t>BULLISH</t>
        </is>
      </c>
      <c r="H5" s="85" t="n">
        <v>8.5</v>
      </c>
      <c r="I5" s="40" t="inlineStr">
        <is>
          <t>Moderate</t>
        </is>
      </c>
    </row>
    <row r="6">
      <c r="A6" s="40" t="inlineStr">
        <is>
          <t>Kids/Family</t>
        </is>
      </c>
      <c r="B6" s="81" t="n">
        <v>10</v>
      </c>
      <c r="C6" s="82" t="n">
        <v>20</v>
      </c>
      <c r="D6" s="83" t="n">
        <v>80.5</v>
      </c>
      <c r="E6" s="83" t="n">
        <v>4.03</v>
      </c>
      <c r="F6" s="84" t="n">
        <v>80</v>
      </c>
      <c r="G6" s="40" t="inlineStr">
        <is>
          <t>BULLISH</t>
        </is>
      </c>
      <c r="H6" s="85" t="n">
        <v>11</v>
      </c>
      <c r="I6" s="40" t="inlineStr">
        <is>
          <t>High</t>
        </is>
      </c>
    </row>
    <row r="7">
      <c r="A7" s="40" t="inlineStr">
        <is>
          <t>International</t>
        </is>
      </c>
      <c r="B7" s="81" t="n">
        <v>25</v>
      </c>
      <c r="C7" s="82" t="n">
        <v>12</v>
      </c>
      <c r="D7" s="83" t="n">
        <v>55.8</v>
      </c>
      <c r="E7" s="83" t="n">
        <v>4.65</v>
      </c>
      <c r="F7" s="84" t="n">
        <v>92</v>
      </c>
      <c r="G7" s="40" t="inlineStr">
        <is>
          <t>BULLISH</t>
        </is>
      </c>
      <c r="H7" s="85" t="n">
        <v>18</v>
      </c>
      <c r="I7" s="40" t="inlineStr">
        <is>
          <t>Very High</t>
        </is>
      </c>
    </row>
    <row r="8">
      <c r="A8" s="40" t="inlineStr">
        <is>
          <t>Limited Series</t>
        </is>
      </c>
      <c r="B8" s="81" t="n">
        <v>18</v>
      </c>
      <c r="C8" s="82" t="n">
        <v>35</v>
      </c>
      <c r="D8" s="83" t="n">
        <v>125.3</v>
      </c>
      <c r="E8" s="83" t="n">
        <v>3.58</v>
      </c>
      <c r="F8" s="84" t="n">
        <v>61.1</v>
      </c>
      <c r="G8" s="40" t="inlineStr">
        <is>
          <t>NEUTRAL</t>
        </is>
      </c>
      <c r="H8" s="85" t="n">
        <v>16</v>
      </c>
      <c r="I8" s="40" t="inlineStr">
        <is>
          <t>High</t>
        </is>
      </c>
    </row>
    <row r="9">
      <c r="A9" s="40" t="inlineStr">
        <is>
          <t>Unscripted/Reality</t>
        </is>
      </c>
      <c r="B9" s="81" t="n">
        <v>20</v>
      </c>
      <c r="C9" s="82" t="n">
        <v>5</v>
      </c>
      <c r="D9" s="83" t="n">
        <v>45.2</v>
      </c>
      <c r="E9" s="83" t="n">
        <v>9.039999999999999</v>
      </c>
      <c r="F9" s="84" t="n">
        <v>95</v>
      </c>
      <c r="G9" s="40" t="inlineStr">
        <is>
          <t>BULLISH</t>
        </is>
      </c>
      <c r="H9" s="85" t="n">
        <v>12</v>
      </c>
      <c r="I9" s="40" t="inlineStr">
        <is>
          <t>High</t>
        </is>
      </c>
    </row>
    <row r="10">
      <c r="A10" s="40" t="inlineStr">
        <is>
          <t>Anime</t>
        </is>
      </c>
      <c r="B10" s="81" t="n">
        <v>14</v>
      </c>
      <c r="C10" s="82" t="n">
        <v>3.5</v>
      </c>
      <c r="D10" s="83" t="n">
        <v>75.5</v>
      </c>
      <c r="E10" s="83" t="n">
        <v>21.57</v>
      </c>
      <c r="F10" s="84" t="n">
        <v>100</v>
      </c>
      <c r="G10" s="40" t="inlineStr">
        <is>
          <t>BULLISH</t>
        </is>
      </c>
      <c r="H10" s="85" t="n">
        <v>6.5</v>
      </c>
      <c r="I10" s="40" t="inlineStr">
        <is>
          <t>Moderate</t>
        </is>
      </c>
    </row>
    <row r="11">
      <c r="A11" s="40" t="inlineStr">
        <is>
          <t>Licensing/Classics</t>
        </is>
      </c>
      <c r="B11" s="81" t="n">
        <v>30</v>
      </c>
      <c r="C11" s="82" t="n">
        <v>0.5</v>
      </c>
      <c r="D11" s="83" t="n">
        <v>25</v>
      </c>
      <c r="E11" s="83" t="n">
        <v>50</v>
      </c>
      <c r="F11" s="84" t="n">
        <v>100</v>
      </c>
      <c r="G11" s="40" t="inlineStr">
        <is>
          <t>NEUTRAL</t>
        </is>
      </c>
      <c r="H11" s="85" t="n">
        <v>3</v>
      </c>
      <c r="I11" s="40" t="inlineStr">
        <is>
          <t>Moderate</t>
        </is>
      </c>
    </row>
    <row r="12">
      <c r="A12" s="40" t="inlineStr"/>
      <c r="B12" s="86" t="inlineStr"/>
      <c r="C12" s="87" t="inlineStr"/>
      <c r="D12" s="88" t="inlineStr"/>
      <c r="E12" s="88" t="inlineStr"/>
      <c r="F12" s="89" t="inlineStr"/>
      <c r="G12" s="40" t="inlineStr"/>
      <c r="H12" s="90" t="inlineStr"/>
      <c r="I12" s="40" t="inlineStr"/>
    </row>
    <row r="13">
      <c r="A13" s="40" t="inlineStr">
        <is>
          <t>PORTFOLIO STATS</t>
        </is>
      </c>
      <c r="B13" s="86" t="inlineStr"/>
      <c r="C13" s="87" t="inlineStr"/>
      <c r="D13" s="88" t="inlineStr"/>
      <c r="E13" s="88" t="inlineStr"/>
      <c r="F13" s="89" t="inlineStr"/>
      <c r="G13" s="40" t="inlineStr"/>
      <c r="H13" s="90" t="inlineStr"/>
      <c r="I13" s="40" t="inlineStr"/>
    </row>
    <row r="14">
      <c r="A14" s="40" t="inlineStr">
        <is>
          <t>Total Titles</t>
        </is>
      </c>
      <c r="B14" s="86">
        <f>SUM(B2:B11)</f>
        <v/>
      </c>
      <c r="C14" s="87" t="inlineStr">
        <is>
          <t>AVG</t>
        </is>
      </c>
      <c r="D14" s="88">
        <f>AVERAGE(D2:D11)</f>
        <v/>
      </c>
      <c r="E14" s="88">
        <f>AVERAGE(E2:E11)</f>
        <v/>
      </c>
      <c r="F14" s="89">
        <f>AVERAGE(F2:F11)</f>
        <v/>
      </c>
      <c r="G14" s="40" t="inlineStr"/>
      <c r="H14" s="90">
        <f>SUM(H2:H11)</f>
        <v/>
      </c>
      <c r="I14" s="40" t="inlineStr"/>
    </row>
    <row r="15">
      <c r="A15" s="40" t="inlineStr">
        <is>
          <t>Original Content</t>
        </is>
      </c>
      <c r="B15" s="86" t="inlineStr">
        <is>
          <t>65%</t>
        </is>
      </c>
      <c r="C15" s="87" t="inlineStr">
        <is>
          <t>Est.</t>
        </is>
      </c>
      <c r="D15" s="88">
        <f>SUM(D2:D11)*0.65</f>
        <v/>
      </c>
      <c r="E15" s="88">
        <f>AVERAGE(E2:E11)</f>
        <v/>
      </c>
      <c r="F15" s="89" t="inlineStr">
        <is>
          <t>85%</t>
        </is>
      </c>
      <c r="G15" s="40" t="inlineStr">
        <is>
          <t>BULLISH</t>
        </is>
      </c>
      <c r="H15" s="90">
        <f>SUM(H2:H11)*0.75</f>
        <v/>
      </c>
      <c r="I15" s="40" t="inlineStr">
        <is>
          <t>Core</t>
        </is>
      </c>
    </row>
    <row r="16">
      <c r="A16" s="40" t="inlineStr">
        <is>
          <t>Licensed Content</t>
        </is>
      </c>
      <c r="B16" s="86" t="inlineStr">
        <is>
          <t>35%</t>
        </is>
      </c>
      <c r="C16" s="87" t="inlineStr">
        <is>
          <t>Est.</t>
        </is>
      </c>
      <c r="D16" s="88">
        <f>SUM(D2:D11)*0.35</f>
        <v/>
      </c>
      <c r="E16" s="88">
        <f>AVERAGE(E2:E11)</f>
        <v/>
      </c>
      <c r="F16" s="89" t="inlineStr">
        <is>
          <t>90%</t>
        </is>
      </c>
      <c r="G16" s="40" t="inlineStr">
        <is>
          <t>NEUTRAL</t>
        </is>
      </c>
      <c r="H16" s="90">
        <f>SUM(H2:H11)*0.25</f>
        <v/>
      </c>
      <c r="I16" s="40" t="inlineStr">
        <is>
          <t>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933FF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0" t="inlineStr">
        <is>
          <t>Cohort</t>
        </is>
      </c>
      <c r="B1" s="80" t="inlineStr">
        <is>
          <t>Subscribers (M)</t>
        </is>
      </c>
      <c r="C1" s="80" t="inlineStr">
        <is>
          <t>ARPU ($)</t>
        </is>
      </c>
      <c r="D1" s="80" t="inlineStr">
        <is>
          <t>Monthly Churn %</t>
        </is>
      </c>
      <c r="E1" s="80" t="inlineStr">
        <is>
          <t>LTV ($)</t>
        </is>
      </c>
      <c r="F1" s="80" t="inlineStr">
        <is>
          <t>CAC ($)</t>
        </is>
      </c>
      <c r="G1" s="80" t="inlineStr">
        <is>
          <t>LTV/CAC</t>
        </is>
      </c>
    </row>
    <row r="2">
      <c r="A2" s="40" t="inlineStr">
        <is>
          <t>Early Adopters (2010-2015)</t>
        </is>
      </c>
      <c r="B2" s="83" t="n">
        <v>45</v>
      </c>
      <c r="C2" s="91" t="n">
        <v>15.5</v>
      </c>
      <c r="D2" s="84" t="n">
        <v>1.5</v>
      </c>
      <c r="E2" s="91" t="n">
        <v>620</v>
      </c>
      <c r="F2" s="82" t="n">
        <v>35</v>
      </c>
      <c r="G2" s="92">
        <f>E2/F2</f>
        <v/>
      </c>
    </row>
    <row r="3">
      <c r="A3" s="40" t="inlineStr">
        <is>
          <t>Growth Period (2015-2018)</t>
        </is>
      </c>
      <c r="B3" s="83" t="n">
        <v>95</v>
      </c>
      <c r="C3" s="91" t="n">
        <v>13.25</v>
      </c>
      <c r="D3" s="84" t="n">
        <v>2</v>
      </c>
      <c r="E3" s="91" t="n">
        <v>530</v>
      </c>
      <c r="F3" s="82" t="n">
        <v>32</v>
      </c>
      <c r="G3" s="92">
        <f>E3/F3</f>
        <v/>
      </c>
    </row>
    <row r="4">
      <c r="A4" s="40" t="inlineStr">
        <is>
          <t>Mature US (2018-2020)</t>
        </is>
      </c>
      <c r="B4" s="83" t="n">
        <v>65</v>
      </c>
      <c r="C4" s="91" t="n">
        <v>14.95</v>
      </c>
      <c r="D4" s="84" t="n">
        <v>2.3</v>
      </c>
      <c r="E4" s="91" t="n">
        <v>598</v>
      </c>
      <c r="F4" s="82" t="n">
        <v>38</v>
      </c>
      <c r="G4" s="92">
        <f>E4/F4</f>
        <v/>
      </c>
    </row>
    <row r="5">
      <c r="A5" s="40" t="inlineStr">
        <is>
          <t>Ad-Tier Converts (2022-2023)</t>
        </is>
      </c>
      <c r="B5" s="83" t="n">
        <v>70</v>
      </c>
      <c r="C5" s="91" t="n">
        <v>10.5</v>
      </c>
      <c r="D5" s="84" t="n">
        <v>3.5</v>
      </c>
      <c r="E5" s="91" t="n">
        <v>420</v>
      </c>
      <c r="F5" s="82" t="n">
        <v>28</v>
      </c>
      <c r="G5" s="92">
        <f>E5/F5</f>
        <v/>
      </c>
    </row>
    <row r="6">
      <c r="A6" s="40" t="inlineStr">
        <is>
          <t>Post-Crackdown (2023-2025)</t>
        </is>
      </c>
      <c r="B6" s="83" t="n">
        <v>30</v>
      </c>
      <c r="C6" s="91" t="n">
        <v>12</v>
      </c>
      <c r="D6" s="84" t="n">
        <v>2.8</v>
      </c>
      <c r="E6" s="91" t="n">
        <v>480</v>
      </c>
      <c r="F6" s="82" t="n">
        <v>25</v>
      </c>
      <c r="G6" s="92">
        <f>E6/F6</f>
        <v/>
      </c>
    </row>
    <row r="7">
      <c r="A7" s="40" t="inlineStr">
        <is>
          <t>New International (2024-2025)</t>
        </is>
      </c>
      <c r="B7" s="83" t="n">
        <v>50</v>
      </c>
      <c r="C7" s="91" t="n">
        <v>8.5</v>
      </c>
      <c r="D7" s="84" t="n">
        <v>3.2</v>
      </c>
      <c r="E7" s="91" t="n">
        <v>340</v>
      </c>
      <c r="F7" s="82" t="n">
        <v>22</v>
      </c>
      <c r="G7" s="92">
        <f>E7/F7</f>
        <v/>
      </c>
    </row>
    <row r="8">
      <c r="A8" s="40" t="inlineStr">
        <is>
          <t>Password Share (2025)</t>
        </is>
      </c>
      <c r="B8" s="83" t="n">
        <v>20</v>
      </c>
      <c r="C8" s="91" t="n">
        <v>12.5</v>
      </c>
      <c r="D8" s="84" t="n">
        <v>4</v>
      </c>
      <c r="E8" s="91" t="n">
        <v>500</v>
      </c>
      <c r="F8" s="82" t="n">
        <v>30</v>
      </c>
      <c r="G8" s="92">
        <f>E8/F8</f>
        <v/>
      </c>
    </row>
    <row r="9">
      <c r="A9" s="40" t="inlineStr">
        <is>
          <t>Games Adopters</t>
        </is>
      </c>
      <c r="B9" s="83" t="n">
        <v>15</v>
      </c>
      <c r="C9" s="91" t="n">
        <v>13.75</v>
      </c>
      <c r="D9" s="84" t="n">
        <v>2.2</v>
      </c>
      <c r="E9" s="91" t="n">
        <v>550</v>
      </c>
      <c r="F9" s="82" t="n">
        <v>32</v>
      </c>
      <c r="G9" s="92">
        <f>E9/F9</f>
        <v/>
      </c>
    </row>
    <row r="10">
      <c r="A10" s="40" t="inlineStr"/>
      <c r="B10" s="88" t="inlineStr"/>
      <c r="C10" s="93" t="inlineStr"/>
      <c r="D10" s="89" t="inlineStr"/>
      <c r="E10" s="93" t="inlineStr"/>
      <c r="F10" s="87" t="inlineStr"/>
      <c r="G10" s="92" t="inlineStr"/>
    </row>
    <row r="11">
      <c r="A11" s="40" t="inlineStr">
        <is>
          <t>PORTFOLIO</t>
        </is>
      </c>
      <c r="B11" s="88">
        <f>SUM(B2:B8)</f>
        <v/>
      </c>
      <c r="C11" s="93">
        <f>AVERAGE(C2:C8)</f>
        <v/>
      </c>
      <c r="D11" s="89">
        <f>AVERAGE(D2:D8)</f>
        <v/>
      </c>
      <c r="E11" s="93">
        <f>AVERAGE(E2:E8)</f>
        <v/>
      </c>
      <c r="F11" s="87">
        <f>AVERAGE(F2:F8)</f>
        <v/>
      </c>
      <c r="G11" s="92">
        <f>AVERAGE(G2:G8)</f>
        <v/>
      </c>
    </row>
    <row r="12">
      <c r="A12" s="40" t="inlineStr">
        <is>
          <t>Premium Tier</t>
        </is>
      </c>
      <c r="B12" s="88">
        <f>SUM(B2:B4)</f>
        <v/>
      </c>
      <c r="C12" s="93">
        <f>AVERAGE(C2:C4)</f>
        <v/>
      </c>
      <c r="D12" s="89">
        <f>AVERAGE(D2:D4)</f>
        <v/>
      </c>
      <c r="E12" s="93">
        <f>AVERAGE(E2:E4)</f>
        <v/>
      </c>
      <c r="F12" s="87">
        <f>AVERAGE(F2:F4)</f>
        <v/>
      </c>
      <c r="G12" s="92">
        <f>AVERAGE(G2:G4)</f>
        <v/>
      </c>
    </row>
    <row r="13">
      <c r="A13" s="40" t="inlineStr">
        <is>
          <t>Standard Tier</t>
        </is>
      </c>
      <c r="B13" s="88">
        <f>SUM(B5:B6)</f>
        <v/>
      </c>
      <c r="C13" s="93">
        <f>AVERAGE(C5:C6)</f>
        <v/>
      </c>
      <c r="D13" s="89">
        <f>AVERAGE(D5:D6)</f>
        <v/>
      </c>
      <c r="E13" s="93">
        <f>AVERAGE(E5:E6)</f>
        <v/>
      </c>
      <c r="F13" s="87">
        <f>AVERAGE(F5:F6)</f>
        <v/>
      </c>
      <c r="G13" s="92">
        <f>AVERAGE(G5:G6)</f>
        <v/>
      </c>
    </row>
    <row r="14">
      <c r="A14" s="40" t="inlineStr">
        <is>
          <t>Ad-Supported Tier</t>
        </is>
      </c>
      <c r="B14" s="88">
        <f>SUM(B7:B8)</f>
        <v/>
      </c>
      <c r="C14" s="93">
        <f>AVERAGE(C7:C8)</f>
        <v/>
      </c>
      <c r="D14" s="89">
        <f>AVERAGE(D7:D8)</f>
        <v/>
      </c>
      <c r="E14" s="93">
        <f>AVERAGE(E7:E8)</f>
        <v/>
      </c>
      <c r="F14" s="87">
        <f>AVERAGE(F7:F8)</f>
        <v/>
      </c>
      <c r="G14" s="92">
        <f>AVERAGE(G7:G8)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933FF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0" t="inlineStr">
        <is>
          <t>Risk Category</t>
        </is>
      </c>
      <c r="B1" s="80" t="inlineStr">
        <is>
          <t>Risk Item</t>
        </is>
      </c>
      <c r="C1" s="80" t="inlineStr">
        <is>
          <t>Probability %</t>
        </is>
      </c>
      <c r="D1" s="80" t="inlineStr">
        <is>
          <t>Impact ($M)</t>
        </is>
      </c>
      <c r="E1" s="80" t="inlineStr">
        <is>
          <t>Risk Score</t>
        </is>
      </c>
      <c r="F1" s="80" t="inlineStr">
        <is>
          <t>Mitigation</t>
        </is>
      </c>
    </row>
    <row r="2">
      <c r="A2" s="40" t="inlineStr">
        <is>
          <t>BUSINESS RISK</t>
        </is>
      </c>
      <c r="B2" s="40" t="inlineStr">
        <is>
          <t>Content miss/slate failure</t>
        </is>
      </c>
      <c r="C2" s="84" t="n">
        <v>0.2</v>
      </c>
      <c r="D2" s="83" t="n">
        <v>800</v>
      </c>
      <c r="E2" s="88">
        <f>C3*D3</f>
        <v/>
      </c>
      <c r="F2" s="40" t="inlineStr">
        <is>
          <t>Diversify slate, greenlight process</t>
        </is>
      </c>
    </row>
    <row r="3">
      <c r="A3" s="40" t="inlineStr">
        <is>
          <t>BUSINESS RISK</t>
        </is>
      </c>
      <c r="B3" s="40" t="inlineStr">
        <is>
          <t>Password sharing collapse</t>
        </is>
      </c>
      <c r="C3" s="84" t="n">
        <v>0.15</v>
      </c>
      <c r="D3" s="83" t="n">
        <v>500</v>
      </c>
      <c r="E3" s="88">
        <f>C4*D4</f>
        <v/>
      </c>
      <c r="F3" s="40" t="inlineStr">
        <is>
          <t>Graduated price increases</t>
        </is>
      </c>
    </row>
    <row r="4">
      <c r="A4" s="40" t="inlineStr">
        <is>
          <t>BUSINESS RISK</t>
        </is>
      </c>
      <c r="B4" s="40" t="inlineStr">
        <is>
          <t>Ad CPM compression</t>
        </is>
      </c>
      <c r="C4" s="84" t="n">
        <v>0.25</v>
      </c>
      <c r="D4" s="83" t="n">
        <v>1200</v>
      </c>
      <c r="E4" s="88">
        <f>C5*D5</f>
        <v/>
      </c>
      <c r="F4" s="40" t="inlineStr">
        <is>
          <t>Premium ad products, higher margins</t>
        </is>
      </c>
    </row>
    <row r="5">
      <c r="A5" s="40" t="inlineStr">
        <is>
          <t>BUSINESS RISK</t>
        </is>
      </c>
      <c r="B5" s="40" t="inlineStr">
        <is>
          <t>Churn acceleration</t>
        </is>
      </c>
      <c r="C5" s="84" t="n">
        <v>0.22</v>
      </c>
      <c r="D5" s="83" t="n">
        <v>1500</v>
      </c>
      <c r="E5" s="88">
        <f>C6*D6</f>
        <v/>
      </c>
      <c r="F5" s="40" t="inlineStr">
        <is>
          <t>Content quality, new products</t>
        </is>
      </c>
    </row>
    <row r="6">
      <c r="A6" s="40" t="inlineStr">
        <is>
          <t>COMPETITIVE RISK</t>
        </is>
      </c>
      <c r="B6" s="40" t="inlineStr">
        <is>
          <t>Disney+ aggressive pricing</t>
        </is>
      </c>
      <c r="C6" s="84" t="n">
        <v>0.3</v>
      </c>
      <c r="D6" s="83" t="n">
        <v>600</v>
      </c>
      <c r="E6" s="88">
        <f>C7*D7</f>
        <v/>
      </c>
      <c r="F6" s="40" t="inlineStr">
        <is>
          <t>Content moat, bundling options</t>
        </is>
      </c>
    </row>
    <row r="7">
      <c r="A7" s="40" t="inlineStr">
        <is>
          <t>COMPETITIVE RISK</t>
        </is>
      </c>
      <c r="B7" s="40" t="inlineStr">
        <is>
          <t>YouTube/TikTok cannibalization</t>
        </is>
      </c>
      <c r="C7" s="84" t="n">
        <v>0.35</v>
      </c>
      <c r="D7" s="83" t="n">
        <v>400</v>
      </c>
      <c r="E7" s="88">
        <f>C8*D8</f>
        <v/>
      </c>
      <c r="F7" s="40" t="inlineStr">
        <is>
          <t>Short-form content strategy</t>
        </is>
      </c>
    </row>
    <row r="8">
      <c r="A8" s="40" t="inlineStr">
        <is>
          <t>COMPETITIVE RISK</t>
        </is>
      </c>
      <c r="B8" s="40" t="inlineStr">
        <is>
          <t>Amazon/Apple expansion</t>
        </is>
      </c>
      <c r="C8" s="84" t="n">
        <v>0.25</v>
      </c>
      <c r="D8" s="83" t="n">
        <v>500</v>
      </c>
      <c r="E8" s="88">
        <f>C9*D9</f>
        <v/>
      </c>
      <c r="F8" s="40" t="inlineStr">
        <is>
          <t>Exclusive content, bundling</t>
        </is>
      </c>
    </row>
    <row r="9">
      <c r="A9" s="40" t="inlineStr">
        <is>
          <t>MACRO RISK</t>
        </is>
      </c>
      <c r="B9" s="40" t="inlineStr">
        <is>
          <t>Recession impact on spending</t>
        </is>
      </c>
      <c r="C9" s="84" t="n">
        <v>0.18</v>
      </c>
      <c r="D9" s="83" t="n">
        <v>1000</v>
      </c>
      <c r="E9" s="88">
        <f>C10*D10</f>
        <v/>
      </c>
      <c r="F9" s="40" t="inlineStr">
        <is>
          <t>Ad tier, price flexibility</t>
        </is>
      </c>
    </row>
    <row r="10">
      <c r="A10" s="40" t="inlineStr">
        <is>
          <t>MACRO RISK</t>
        </is>
      </c>
      <c r="B10" s="40" t="inlineStr">
        <is>
          <t>Tariff escalation (content)</t>
        </is>
      </c>
      <c r="C10" s="84" t="n">
        <v>0.3</v>
      </c>
      <c r="D10" s="83" t="n">
        <v>300</v>
      </c>
      <c r="E10" s="88">
        <f>C11*D11</f>
        <v/>
      </c>
      <c r="F10" s="40" t="inlineStr">
        <is>
          <t>Diversify production locations</t>
        </is>
      </c>
    </row>
    <row r="11">
      <c r="A11" s="40" t="inlineStr">
        <is>
          <t>MACRO RISK</t>
        </is>
      </c>
      <c r="B11" s="40" t="inlineStr">
        <is>
          <t>FX headwinds</t>
        </is>
      </c>
      <c r="C11" s="84" t="n">
        <v>0.4</v>
      </c>
      <c r="D11" s="83" t="n">
        <v>400</v>
      </c>
      <c r="E11" s="88">
        <f>C12*D12</f>
        <v/>
      </c>
      <c r="F11" s="40" t="inlineStr">
        <is>
          <t>Natural hedges, pricing discipline</t>
        </is>
      </c>
    </row>
    <row r="12">
      <c r="A12" s="40" t="inlineStr">
        <is>
          <t>REGULATORY RISK</t>
        </is>
      </c>
      <c r="B12" s="40" t="inlineStr">
        <is>
          <t>France tax investigation</t>
        </is>
      </c>
      <c r="C12" s="84" t="n">
        <v>0.5</v>
      </c>
      <c r="D12" s="83" t="n">
        <v>500</v>
      </c>
      <c r="E12" s="88">
        <f>C13*D13</f>
        <v/>
      </c>
      <c r="F12" s="40" t="inlineStr">
        <is>
          <t>Compliance, settlement reserve</t>
        </is>
      </c>
    </row>
    <row r="13">
      <c r="A13" s="40" t="inlineStr">
        <is>
          <t>REGULATORY RISK</t>
        </is>
      </c>
      <c r="B13" s="40" t="inlineStr">
        <is>
          <t>EU DSA compliance</t>
        </is>
      </c>
      <c r="C13" s="84" t="n">
        <v>0.65</v>
      </c>
      <c r="D13" s="83" t="n">
        <v>200</v>
      </c>
      <c r="E13" s="88">
        <f>C14*D14</f>
        <v/>
      </c>
      <c r="F13" s="40" t="inlineStr">
        <is>
          <t>Build AI moderation systems</t>
        </is>
      </c>
    </row>
    <row r="14">
      <c r="A14" s="40" t="inlineStr">
        <is>
          <t>REGULATORY RISK</t>
        </is>
      </c>
      <c r="B14" s="40" t="inlineStr">
        <is>
          <t>China market closure</t>
        </is>
      </c>
      <c r="C14" s="84" t="n">
        <v>0.1</v>
      </c>
      <c r="D14" s="83" t="n">
        <v>200</v>
      </c>
      <c r="E14" s="88">
        <f>C15*D15</f>
        <v/>
      </c>
      <c r="F14" s="40" t="inlineStr">
        <is>
          <t>Accept closure, focus on others</t>
        </is>
      </c>
    </row>
    <row r="15">
      <c r="A15" s="40" t="inlineStr">
        <is>
          <t>TECHNOLOGY RISK</t>
        </is>
      </c>
      <c r="B15" s="40" t="inlineStr">
        <is>
          <t>Piracy acceleration</t>
        </is>
      </c>
      <c r="C15" s="84" t="n">
        <v>0.25</v>
      </c>
      <c r="D15" s="83" t="n">
        <v>300</v>
      </c>
      <c r="E15" s="88">
        <f>C16*D16</f>
        <v/>
      </c>
      <c r="F15" s="40" t="inlineStr">
        <is>
          <t>DRM, selective licensing</t>
        </is>
      </c>
    </row>
    <row r="16">
      <c r="A16" s="40" t="inlineStr">
        <is>
          <t>TECHNOLOGY RISK</t>
        </is>
      </c>
      <c r="B16" s="40" t="inlineStr">
        <is>
          <t>Cybersecurity breach</t>
        </is>
      </c>
      <c r="C16" s="84" t="n">
        <v>0.12</v>
      </c>
      <c r="D16" s="83" t="n">
        <v>400</v>
      </c>
      <c r="E16" s="88">
        <f>C17*D17</f>
        <v/>
      </c>
      <c r="F16" s="40" t="inlineStr">
        <is>
          <t>Robust security, insurance</t>
        </is>
      </c>
    </row>
    <row r="17">
      <c r="A17" s="40" t="inlineStr">
        <is>
          <t>TECHNOLOGY RISK</t>
        </is>
      </c>
      <c r="B17" s="40" t="inlineStr">
        <is>
          <t>Tech obsolescence</t>
        </is>
      </c>
      <c r="C17" s="84" t="n">
        <v>0.08</v>
      </c>
      <c r="D17" s="83" t="n">
        <v>150</v>
      </c>
      <c r="E17" s="88">
        <f>C18*D18</f>
        <v/>
      </c>
      <c r="F17" s="40" t="inlineStr">
        <is>
          <t>Continuous R&amp;D investment</t>
        </is>
      </c>
    </row>
    <row r="18">
      <c r="A18" s="40" t="inlineStr">
        <is>
          <t>PEOPLE RISK</t>
        </is>
      </c>
      <c r="B18" s="40" t="inlineStr">
        <is>
          <t>Key talent departure</t>
        </is>
      </c>
      <c r="C18" s="84" t="n">
        <v>0.2</v>
      </c>
      <c r="D18" s="83" t="n">
        <v>250</v>
      </c>
      <c r="E18" s="88">
        <f>C19*D19</f>
        <v/>
      </c>
      <c r="F18" s="40" t="inlineStr">
        <is>
          <t>Competitive comp, culture</t>
        </is>
      </c>
    </row>
    <row r="19">
      <c r="A19" s="40" t="inlineStr">
        <is>
          <t>PEOPLE RISK</t>
        </is>
      </c>
      <c r="B19" s="40" t="inlineStr">
        <is>
          <t>Labor relations issues</t>
        </is>
      </c>
      <c r="C19" s="84" t="n">
        <v>0.15</v>
      </c>
      <c r="D19" s="83" t="n">
        <v>100</v>
      </c>
      <c r="E19" s="88">
        <f>C20*D20</f>
        <v/>
      </c>
      <c r="F19" s="40" t="inlineStr">
        <is>
          <t>Fair labor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2026-03-15T18:35:31Z</dcterms:created>
  <dcterms:modified xmlns:dcterms="http://purl.org/dc/terms/" xmlns:xsi="http://www.w3.org/2001/XMLSchema-instance" xsi:type="dcterms:W3CDTF">2026-03-15T18:39:31Z</dcterms:modified>
</cp:coreProperties>
</file>